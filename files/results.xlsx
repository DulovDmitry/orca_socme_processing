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Дима документы\Python\orca_socme_processing\files\"/>
    </mc:Choice>
  </mc:AlternateContent>
  <bookViews>
    <workbookView xWindow="240" yWindow="105" windowWidth="14805" windowHeight="8010" tabRatio="846" firstSheet="15" activeTab="15"/>
  </bookViews>
  <sheets>
    <sheet name="template" sheetId="1" r:id="rId1"/>
    <sheet name="pbeh3c homo_energy" sheetId="2" r:id="rId2"/>
    <sheet name="pbeh3c lumo_energy" sheetId="3" r:id="rId3"/>
    <sheet name="pbeh3c homo_lumo_gap" sheetId="4" r:id="rId4"/>
    <sheet name="r2scan3c homo_energy" sheetId="5" r:id="rId5"/>
    <sheet name="r2scan3c lumo_energy" sheetId="6" r:id="rId6"/>
    <sheet name="r2scan3c homo_lumo_gap" sheetId="7" r:id="rId7"/>
    <sheet name="b3lyp homo_energy" sheetId="8" r:id="rId8"/>
    <sheet name="b3lyp lumo_energy" sheetId="9" r:id="rId9"/>
    <sheet name="b3lyp homo_lumo_gap" sheetId="10" r:id="rId10"/>
    <sheet name="pbe0 homo_energy" sheetId="11" r:id="rId11"/>
    <sheet name="pbe0 lumo_energy" sheetId="12" r:id="rId12"/>
    <sheet name="pbe0 homo_lumo_gap" sheetId="13" r:id="rId13"/>
    <sheet name="pbe0 S1_energy" sheetId="14" r:id="rId14"/>
    <sheet name="pbe0 T1_energy" sheetId="15" r:id="rId15"/>
    <sheet name="pbe0 delta_E_S1_T1" sheetId="16" r:id="rId16"/>
    <sheet name="pbe0 delta_E_S2_T1" sheetId="17" r:id="rId17"/>
    <sheet name="pbe0 T1_S1_SOCME" sheetId="18" r:id="rId18"/>
    <sheet name="pbe0 T1_S2_SOCME" sheetId="19" r:id="rId19"/>
    <sheet name="pbe0 T1_S1_kRISC" sheetId="20" r:id="rId20"/>
    <sheet name="pbe0 T1_S2_kRISC" sheetId="21" r:id="rId21"/>
    <sheet name="pbe0 distance" sheetId="22" r:id="rId22"/>
    <sheet name="pbe0 integral_norm" sheetId="23" r:id="rId23"/>
    <sheet name="pbe0 integral_square" sheetId="24" r:id="rId24"/>
    <sheet name="pbe0 S1_HEOE" sheetId="25" r:id="rId25"/>
    <sheet name="pbe0 S2_HEOE" sheetId="26" r:id="rId26"/>
    <sheet name="pbe0 T1_HEOE" sheetId="27" r:id="rId27"/>
    <sheet name="pbe0 T2_HEOE" sheetId="28" r:id="rId28"/>
    <sheet name="pbe0 delta_E_S1_S2" sheetId="29" r:id="rId29"/>
    <sheet name="pbe0 delta_E_T1_T2" sheetId="30" r:id="rId30"/>
  </sheets>
  <calcPr calcId="152511"/>
</workbook>
</file>

<file path=xl/calcChain.xml><?xml version="1.0" encoding="utf-8"?>
<calcChain xmlns="http://schemas.openxmlformats.org/spreadsheetml/2006/main">
  <c r="K14" i="23" l="1"/>
  <c r="J14" i="23"/>
  <c r="I14" i="23"/>
  <c r="H14" i="23"/>
  <c r="G14" i="23"/>
  <c r="F14" i="23"/>
  <c r="E14" i="23"/>
  <c r="D14" i="23"/>
  <c r="C14" i="23"/>
  <c r="M12" i="23"/>
  <c r="M11" i="23"/>
  <c r="M10" i="23"/>
  <c r="M9" i="23"/>
  <c r="M8" i="23"/>
  <c r="M7" i="23"/>
  <c r="M6" i="23"/>
  <c r="M5" i="23"/>
  <c r="K15" i="16"/>
  <c r="J15" i="16"/>
  <c r="I15" i="16"/>
  <c r="H15" i="16"/>
  <c r="G15" i="16"/>
  <c r="F15" i="16"/>
  <c r="E15" i="16"/>
  <c r="D15" i="16"/>
  <c r="C15" i="16"/>
  <c r="W12" i="16"/>
  <c r="U12" i="16"/>
  <c r="T12" i="16"/>
  <c r="S12" i="16"/>
  <c r="R12" i="16"/>
  <c r="Q12" i="16"/>
  <c r="P12" i="16"/>
  <c r="O12" i="16"/>
  <c r="N12" i="16"/>
  <c r="M12" i="16"/>
  <c r="W11" i="16"/>
  <c r="U11" i="16"/>
  <c r="T11" i="16"/>
  <c r="S11" i="16"/>
  <c r="R11" i="16"/>
  <c r="Q11" i="16"/>
  <c r="P11" i="16"/>
  <c r="O11" i="16"/>
  <c r="N11" i="16"/>
  <c r="M11" i="16"/>
  <c r="W10" i="16"/>
  <c r="U10" i="16"/>
  <c r="T10" i="16"/>
  <c r="S10" i="16"/>
  <c r="R10" i="16"/>
  <c r="Q10" i="16"/>
  <c r="P10" i="16"/>
  <c r="O10" i="16"/>
  <c r="N10" i="16"/>
  <c r="M10" i="16"/>
  <c r="W9" i="16"/>
  <c r="U9" i="16"/>
  <c r="T9" i="16"/>
  <c r="S9" i="16"/>
  <c r="R9" i="16"/>
  <c r="Q9" i="16"/>
  <c r="P9" i="16"/>
  <c r="O9" i="16"/>
  <c r="N9" i="16"/>
  <c r="M9" i="16"/>
  <c r="W8" i="16"/>
  <c r="U8" i="16"/>
  <c r="T8" i="16"/>
  <c r="S8" i="16"/>
  <c r="R8" i="16"/>
  <c r="Q8" i="16"/>
  <c r="P8" i="16"/>
  <c r="O8" i="16"/>
  <c r="N8" i="16"/>
  <c r="M8" i="16"/>
  <c r="W7" i="16"/>
  <c r="U7" i="16"/>
  <c r="T7" i="16"/>
  <c r="S7" i="16"/>
  <c r="R7" i="16"/>
  <c r="Q7" i="16"/>
  <c r="P7" i="16"/>
  <c r="O7" i="16"/>
  <c r="N7" i="16"/>
  <c r="M7" i="16"/>
  <c r="W6" i="16"/>
  <c r="U6" i="16"/>
  <c r="T6" i="16"/>
  <c r="S6" i="16"/>
  <c r="R6" i="16"/>
  <c r="Q6" i="16"/>
  <c r="P6" i="16"/>
  <c r="O6" i="16"/>
  <c r="N6" i="16"/>
  <c r="M6" i="16"/>
  <c r="W5" i="16"/>
  <c r="U5" i="16"/>
  <c r="T5" i="16"/>
  <c r="S5" i="16"/>
  <c r="R5" i="16"/>
  <c r="Q5" i="16"/>
  <c r="P5" i="16"/>
  <c r="O5" i="16"/>
  <c r="N5" i="16"/>
  <c r="M5" i="16"/>
  <c r="M12" i="13"/>
  <c r="M11" i="13"/>
  <c r="M10" i="13"/>
  <c r="M9" i="13"/>
  <c r="M8" i="13"/>
  <c r="M7" i="13"/>
  <c r="M6" i="13"/>
  <c r="M5" i="13"/>
  <c r="K15" i="12"/>
  <c r="J15" i="12"/>
  <c r="I15" i="12"/>
  <c r="H15" i="12"/>
  <c r="G15" i="12"/>
  <c r="F15" i="12"/>
  <c r="E15" i="12"/>
  <c r="D15" i="12"/>
  <c r="C15" i="12"/>
  <c r="M12" i="11"/>
  <c r="M11" i="11"/>
  <c r="M10" i="11"/>
  <c r="M9" i="11"/>
  <c r="M8" i="11"/>
  <c r="M7" i="11"/>
  <c r="M6" i="11"/>
  <c r="M5" i="11"/>
</calcChain>
</file>

<file path=xl/sharedStrings.xml><?xml version="1.0" encoding="utf-8"?>
<sst xmlns="http://schemas.openxmlformats.org/spreadsheetml/2006/main" count="338" uniqueCount="45">
  <si>
    <t>Title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</si>
  <si>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</si>
  <si>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</si>
  <si>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</si>
  <si>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</si>
  <si>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</si>
  <si>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</si>
  <si>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</si>
  <si>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</si>
  <si>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</si>
  <si>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HOMO energies, eV (PBEh-3c)</t>
  </si>
  <si>
    <t>LUMO energies, eV (PBEh-3c)</t>
  </si>
  <si>
    <t>HOMO-LUMO gaps, eV (PBEh-3c)</t>
  </si>
  <si>
    <t>HOMO energies, eV (r2scan-3c)</t>
  </si>
  <si>
    <t>LUMO energies, eV (r2scan-3c)</t>
  </si>
  <si>
    <t>HOMO-LUMO gaps, eV (r2scan-3c)</t>
  </si>
  <si>
    <t>HOMO energies, eV (B3LYP/def2-SVP)</t>
  </si>
  <si>
    <t>LUMO energies, eV (B3LYP/def2-SVP)</t>
  </si>
  <si>
    <t>HOMO-LUMO gaps, eV (B3LYP/def2-SVP)</t>
  </si>
  <si>
    <t>HOMO energies, eV (PBE0/def2-TZVP, CPCM(toluene))</t>
  </si>
  <si>
    <t>mean</t>
  </si>
  <si>
    <t>LUMO energies, eV (PBE0/def2-TZVP, CPCM(toluene))</t>
  </si>
  <si>
    <t>HOMO-LUMO gaps, eV (PBE0/def2-TZVP, CPCM(toluene))</t>
  </si>
  <si>
    <t>S1 energies, eV (PBE0/def2-TZVP, CPCM(toluene))</t>
  </si>
  <si>
    <t>T1 energies, eV (PBE0/def2-TZVP, CPCM(toluene))</t>
  </si>
  <si>
    <t>ΔE(S1-T1), eV (PBE0/def2-TZVP, CPCM(toluene))</t>
  </si>
  <si>
    <t>ΔE(S2-T1), eV (PBE0/def2-TZVP, CPCM(toluene))</t>
  </si>
  <si>
    <t>Spin-Orbit Coupling Matrix Element for S1 and T1, cm-1 (PBE0/def2-TZVP, CPCM(toluene))</t>
  </si>
  <si>
    <t>Spin-Orbit Coupling between T1 and S2, cm-1 (PBE0/def2-TZVP, CPCM(toluene))</t>
  </si>
  <si>
    <t>(SOCME(T1-S1))^2*exp(-ΔE(S1-T1)^2) (PBE0/def2-TZVP, CPCM(toluene))</t>
  </si>
  <si>
    <t xml:space="preserve">Подсвечено розовым если </t>
  </si>
  <si>
    <t>k(risc)</t>
  </si>
  <si>
    <t>&gt;</t>
  </si>
  <si>
    <t>dE(ST)</t>
  </si>
  <si>
    <t>&lt;</t>
  </si>
  <si>
    <t>(SOCME(T1-S2))^2*exp(-ΔE(S2-T1)^2) (PBE0/def2-TZVP, CPCM(toluene))</t>
  </si>
  <si>
    <t>Distance between centroids of HOMO and LUMO (PBE0/def2-TZVP, CPCM(toluene)), Angstrom</t>
  </si>
  <si>
    <t>Overlap integral for module of HOMO and LUMO (PBE0/def2-TZVP, CPCM(toluene))</t>
  </si>
  <si>
    <t>Overlap integral for squared HOMO and LUMO (PBE0/def2-TZVP, CPCM(toluene))</t>
  </si>
  <si>
    <t>Hole-electron overlap extent in S1 (PBE0/def2-TZVP, CPCM(toluene))</t>
  </si>
  <si>
    <t>Hole-electron overlap extent in S2 (PBE0/def2-TZVP, CPCM(toluene))</t>
  </si>
  <si>
    <t>Hole-electron overlap extent in T1 (PBE0/def2-TZVP, CPCM(toluene))</t>
  </si>
  <si>
    <t>Hole-electron overlap extent in T2 (PBE0/def2-TZVP, CPCM(toluene))</t>
  </si>
  <si>
    <t>ΔE(S2-S1), eV (PBE0/def2-TZVP, CPCM(toluene))</t>
  </si>
  <si>
    <t>ΔE(T2-T1), eV (PBE0/def2-TZVP, CPCM(toluene))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</si>
</sst>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BD7E1"/>
        <bgColor rgb="FFFBD7E1"/>
      </patternFill>
    </fill>
    <fill>
      <patternFill patternType="solid">
        <fgColor rgb="FFC2F9DC"/>
        <bgColor rgb="FFC2F9DC"/>
      </patternFill>
    </fill>
    <fill>
      <patternFill patternType="solid">
        <fgColor rgb="FFA5EEFF"/>
        <bgColor rgb="FFA5EEFF"/>
      </patternFill>
    </fill>
    <fill>
      <patternFill patternType="solid">
        <fgColor rgb="FF7DDAD9"/>
        <bgColor rgb="FF7DDAD9"/>
      </patternFill>
    </fill>
    <fill>
      <patternFill patternType="solid">
        <fgColor rgb="FFFCEAAF"/>
        <bgColor rgb="FFFCEAAF"/>
      </patternFill>
    </fill>
    <fill>
      <patternFill patternType="solid">
        <fgColor rgb="FFD7D7D7"/>
        <bgColor rgb="FFD7D7D7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0" fillId="0" borderId="0" xfId="0" applyNumberFormat="1"/>
    <xf numFmtId="164" fontId="3" fillId="0" borderId="0" xfId="0" applyNumberFormat="1" applyFont="1" applyAlignment="1">
      <alignment horizontal="center" vertical="center"/>
    </xf>
    <xf numFmtId="0" fontId="0" fillId="3" borderId="0" xfId="0" applyFill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11" fontId="0" fillId="3" borderId="8" xfId="0" applyNumberFormat="1" applyFill="1" applyBorder="1"/>
    <xf numFmtId="0" fontId="0" fillId="3" borderId="9" xfId="0" applyFill="1" applyBorder="1"/>
    <xf numFmtId="0" fontId="0" fillId="3" borderId="10" xfId="0" applyFill="1" applyBorder="1"/>
    <xf numFmtId="2" fontId="0" fillId="3" borderId="11" xfId="0" applyNumberFormat="1" applyFill="1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2"/>
  <sheetViews>
    <sheetView workbookViewId="0">
      <selection activeCell="J18" sqref="J18"/>
    </sheetView>
  </sheetViews>
  <sheetFormatPr defaultRowHeight="15" x14ac:dyDescent="0.25"/>
  <cols>
    <col min="2" max="11" width="12.85546875" customWidth="1"/>
  </cols>
  <sheetData>
    <row r="2" spans="2:11" ht="21" customHeight="1" x14ac:dyDescent="0.35">
      <c r="B2" s="18" t="s">
        <v>0</v>
      </c>
      <c r="C2" s="19"/>
      <c r="D2" s="19"/>
      <c r="E2" s="19"/>
      <c r="F2" s="19"/>
      <c r="G2" s="19"/>
      <c r="H2" s="19"/>
      <c r="I2" s="19"/>
      <c r="J2" s="19"/>
      <c r="K2" s="20"/>
    </row>
    <row r="3" spans="2:11" x14ac:dyDescent="0.25">
      <c r="B3" s="8"/>
      <c r="C3" s="8"/>
      <c r="D3" s="8"/>
      <c r="E3" s="8"/>
      <c r="F3" s="8"/>
      <c r="G3" s="8"/>
      <c r="H3" s="8"/>
      <c r="I3" s="8"/>
      <c r="J3" s="8"/>
      <c r="K3" s="8"/>
    </row>
    <row r="4" spans="2:11" ht="30" customHeight="1" x14ac:dyDescent="0.25">
      <c r="B4" s="2"/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</row>
    <row r="5" spans="2:11" ht="37.5" customHeight="1" x14ac:dyDescent="0.25">
      <c r="B5" s="1">
        <v>1</v>
      </c>
      <c r="C5" s="3"/>
      <c r="D5" s="3"/>
      <c r="E5" s="3"/>
      <c r="F5" s="3"/>
      <c r="G5" s="3"/>
      <c r="H5" s="3"/>
      <c r="I5" s="3"/>
      <c r="J5" s="3"/>
      <c r="K5" s="3"/>
    </row>
    <row r="6" spans="2:11" ht="37.5" customHeight="1" x14ac:dyDescent="0.25">
      <c r="B6" s="1">
        <v>2</v>
      </c>
      <c r="C6" s="3"/>
      <c r="D6" s="3"/>
      <c r="E6" s="3"/>
      <c r="F6" s="3"/>
      <c r="G6" s="3"/>
      <c r="H6" s="3"/>
      <c r="I6" s="3"/>
      <c r="J6" s="3"/>
      <c r="K6" s="3"/>
    </row>
    <row r="7" spans="2:11" ht="37.5" customHeight="1" x14ac:dyDescent="0.25">
      <c r="B7" s="1">
        <v>3</v>
      </c>
      <c r="C7" s="3"/>
      <c r="D7" s="3"/>
      <c r="E7" s="3"/>
      <c r="F7" s="3"/>
      <c r="G7" s="3"/>
      <c r="H7" s="3"/>
      <c r="I7" s="3"/>
      <c r="J7" s="3"/>
      <c r="K7" s="3"/>
    </row>
    <row r="8" spans="2:11" ht="37.5" customHeight="1" x14ac:dyDescent="0.25">
      <c r="B8" s="1">
        <v>4</v>
      </c>
      <c r="C8" s="3"/>
      <c r="D8" s="3"/>
      <c r="E8" s="3"/>
      <c r="F8" s="3"/>
      <c r="G8" s="3"/>
      <c r="H8" s="3"/>
      <c r="I8" s="3"/>
      <c r="J8" s="3"/>
      <c r="K8" s="3"/>
    </row>
    <row r="9" spans="2:11" ht="37.5" customHeight="1" x14ac:dyDescent="0.25">
      <c r="B9" s="1">
        <v>5</v>
      </c>
      <c r="C9" s="3"/>
      <c r="D9" s="3"/>
      <c r="E9" s="3"/>
      <c r="F9" s="3"/>
      <c r="G9" s="3"/>
      <c r="H9" s="3"/>
      <c r="I9" s="3"/>
      <c r="J9" s="3"/>
      <c r="K9" s="3"/>
    </row>
    <row r="10" spans="2:11" ht="37.5" customHeight="1" x14ac:dyDescent="0.25">
      <c r="B10" s="1">
        <v>6</v>
      </c>
      <c r="C10" s="3"/>
      <c r="D10" s="3"/>
      <c r="E10" s="3"/>
      <c r="F10" s="3"/>
      <c r="G10" s="3"/>
      <c r="H10" s="3"/>
      <c r="I10" s="3"/>
      <c r="J10" s="3"/>
      <c r="K10" s="3"/>
    </row>
    <row r="11" spans="2:11" ht="37.5" customHeight="1" x14ac:dyDescent="0.25">
      <c r="B11" s="1">
        <v>7</v>
      </c>
      <c r="C11" s="3"/>
      <c r="D11" s="3"/>
      <c r="E11" s="3"/>
      <c r="F11" s="3"/>
      <c r="G11" s="3"/>
      <c r="H11" s="3"/>
      <c r="I11" s="3"/>
      <c r="J11" s="3"/>
      <c r="K11" s="3"/>
    </row>
    <row r="12" spans="2:11" ht="37.5" customHeight="1" x14ac:dyDescent="0.25">
      <c r="B12" s="1">
        <v>8</v>
      </c>
      <c r="C12" s="3"/>
      <c r="D12" s="3"/>
      <c r="E12" s="3"/>
      <c r="F12" s="3"/>
      <c r="G12" s="3"/>
      <c r="H12" s="3"/>
      <c r="I12" s="3"/>
      <c r="J12" s="3"/>
      <c r="K12" s="3"/>
    </row>
  </sheetData>
  <mergeCells count="1">
    <mergeCell ref="B2:K2"/>
  </mergeCells>
  <conditionalFormatting sqref="C5:K12">
    <cfRule type="colorScale" priority="1">
      <colorScale>
        <cfvo type="min"/>
        <cfvo type="max"/>
        <color rgb="FF63BE7B"/>
        <color rgb="FFFFEF9C"/>
      </colorScale>
    </cfRule>
  </conditionalFormatting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2"/>
  <sheetViews>
    <sheetView workbookViewId="0">
      <selection activeCell="F15" sqref="F15"/>
    </sheetView>
  </sheetViews>
  <sheetFormatPr defaultRowHeight="15" x14ac:dyDescent="0.25"/>
  <cols>
    <col min="2" max="11" width="12.85546875" customWidth="1"/>
  </cols>
  <sheetData>
    <row r="2" spans="2:11" ht="21" customHeight="1" x14ac:dyDescent="0.35">
      <c r="B2" s="21" t="s">
        <v>10</v>
      </c>
      <c r="C2" s="19"/>
      <c r="D2" s="19"/>
      <c r="E2" s="19"/>
      <c r="F2" s="19"/>
      <c r="G2" s="19"/>
      <c r="H2" s="19"/>
      <c r="I2" s="19"/>
      <c r="J2" s="19"/>
      <c r="K2" s="20"/>
    </row>
    <row r="3" spans="2:11" x14ac:dyDescent="0.25">
      <c r="B3" s="8"/>
      <c r="C3" s="8"/>
      <c r="D3" s="8"/>
      <c r="E3" s="8"/>
      <c r="F3" s="8"/>
      <c r="G3" s="8"/>
      <c r="H3" s="8"/>
      <c r="I3" s="8"/>
      <c r="J3" s="8"/>
      <c r="K3" s="8"/>
    </row>
    <row r="4" spans="2:11" ht="30" customHeight="1" x14ac:dyDescent="0.25">
      <c r="B4" s="2"/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</row>
    <row r="5" spans="2:11" ht="37.5" customHeight="1" x14ac:dyDescent="0.25">
      <c r="B5" s="1">
        <v>1</v>
      </c>
      <c r="C5" s="5">
        <v>-6.7728000000000002</v>
      </c>
      <c r="D5" s="5">
        <v>-6.6862000000000004</v>
      </c>
      <c r="E5" s="5">
        <v>-6.7747999999999999</v>
      </c>
      <c r="F5" s="5">
        <v>-6.6637000000000004</v>
      </c>
      <c r="G5" s="5">
        <v>-6.4249999999999998</v>
      </c>
      <c r="H5" s="5">
        <v>-6.476</v>
      </c>
      <c r="I5" s="5">
        <v>-6.4549000000000003</v>
      </c>
      <c r="J5" s="5">
        <v>-6.5243000000000002</v>
      </c>
      <c r="K5" s="5">
        <v>-6.3874000000000004</v>
      </c>
    </row>
    <row r="6" spans="2:11" ht="37.5" customHeight="1" x14ac:dyDescent="0.25">
      <c r="B6" s="1">
        <v>2</v>
      </c>
      <c r="C6" s="5">
        <v>-6.6599000000000004</v>
      </c>
      <c r="D6" s="5">
        <v>-6.4983000000000004</v>
      </c>
      <c r="E6" s="5">
        <v>-6.6482999999999999</v>
      </c>
      <c r="F6" s="5">
        <v>-6.4892000000000003</v>
      </c>
      <c r="G6" s="5">
        <v>-6.1539999999999999</v>
      </c>
      <c r="H6" s="5">
        <v>-6.1745000000000001</v>
      </c>
      <c r="I6" s="5">
        <v>-6.2129000000000003</v>
      </c>
      <c r="J6" s="5">
        <v>-6.3167</v>
      </c>
      <c r="K6" s="5">
        <v>-6.1222000000000003</v>
      </c>
    </row>
    <row r="7" spans="2:11" ht="37.5" customHeight="1" x14ac:dyDescent="0.25">
      <c r="B7" s="1">
        <v>3</v>
      </c>
      <c r="C7" s="5">
        <v>-6.3</v>
      </c>
      <c r="D7" s="5">
        <v>-6.1909999999999998</v>
      </c>
      <c r="E7" s="5">
        <v>-6.2988999999999997</v>
      </c>
      <c r="F7" s="5">
        <v>-6.1703999999999999</v>
      </c>
      <c r="G7" s="5">
        <v>-5.9012000000000002</v>
      </c>
      <c r="H7" s="5">
        <v>-5.9497999999999998</v>
      </c>
      <c r="I7" s="5">
        <v>-5.9377000000000004</v>
      </c>
      <c r="J7" s="5">
        <v>-6.0218999999999996</v>
      </c>
      <c r="K7" s="5">
        <v>-5.8604000000000003</v>
      </c>
    </row>
    <row r="8" spans="2:11" ht="37.5" customHeight="1" x14ac:dyDescent="0.25">
      <c r="B8" s="1">
        <v>4</v>
      </c>
      <c r="C8" s="5">
        <v>-6.3623000000000003</v>
      </c>
      <c r="D8" s="5">
        <v>-6.2187000000000001</v>
      </c>
      <c r="E8" s="5">
        <v>-6.3625999999999996</v>
      </c>
      <c r="F8" s="5">
        <v>-6.2035</v>
      </c>
      <c r="G8" s="5">
        <v>-5.8804999999999996</v>
      </c>
      <c r="H8" s="5">
        <v>-5.92</v>
      </c>
      <c r="I8" s="5">
        <v>-5.9322999999999997</v>
      </c>
      <c r="J8" s="5">
        <v>-6.1493000000000002</v>
      </c>
      <c r="K8" s="5">
        <v>-5.8502999999999998</v>
      </c>
    </row>
    <row r="9" spans="2:11" ht="37.5" customHeight="1" x14ac:dyDescent="0.25">
      <c r="B9" s="1">
        <v>5</v>
      </c>
      <c r="C9" s="5">
        <v>-6.4386999999999999</v>
      </c>
      <c r="D9" s="5">
        <v>-6.3730000000000002</v>
      </c>
      <c r="E9" s="5">
        <v>-6.452</v>
      </c>
      <c r="F9" s="5">
        <v>-6.3451000000000004</v>
      </c>
      <c r="G9" s="5">
        <v>-6.1228999999999996</v>
      </c>
      <c r="H9" s="5">
        <v>-6.1699000000000002</v>
      </c>
      <c r="I9" s="5">
        <v>-6.1429</v>
      </c>
      <c r="J9" s="5">
        <v>-6.2111999999999998</v>
      </c>
      <c r="K9" s="5">
        <v>-6.0830000000000002</v>
      </c>
    </row>
    <row r="10" spans="2:11" ht="37.5" customHeight="1" x14ac:dyDescent="0.25">
      <c r="B10" s="1">
        <v>6</v>
      </c>
      <c r="C10" s="5">
        <v>-6.3893000000000004</v>
      </c>
      <c r="D10" s="5">
        <v>-6.3312999999999997</v>
      </c>
      <c r="E10" s="5">
        <v>-6.4001000000000001</v>
      </c>
      <c r="F10" s="5">
        <v>-6.3059000000000003</v>
      </c>
      <c r="G10" s="5">
        <v>-6.0853999999999999</v>
      </c>
      <c r="H10" s="5">
        <v>-6.14</v>
      </c>
      <c r="I10" s="5">
        <v>-6.0967000000000002</v>
      </c>
      <c r="J10" s="5">
        <v>-6.1631</v>
      </c>
      <c r="K10" s="5">
        <v>-6.0339999999999998</v>
      </c>
    </row>
    <row r="11" spans="2:11" ht="37.5" customHeight="1" x14ac:dyDescent="0.25">
      <c r="B11" s="1">
        <v>7</v>
      </c>
      <c r="C11" s="5">
        <v>-6.0830000000000002</v>
      </c>
      <c r="D11" s="5">
        <v>-6.0217000000000001</v>
      </c>
      <c r="E11" s="5">
        <v>-6.0932000000000004</v>
      </c>
      <c r="F11" s="5">
        <v>-5.9733000000000001</v>
      </c>
      <c r="G11" s="5">
        <v>-5.7744</v>
      </c>
      <c r="H11" s="5">
        <v>-5.8292000000000002</v>
      </c>
      <c r="I11" s="5">
        <v>-5.7712000000000003</v>
      </c>
      <c r="J11" s="5">
        <v>-5.8320999999999996</v>
      </c>
      <c r="K11" s="5">
        <v>-5.7133000000000003</v>
      </c>
    </row>
    <row r="12" spans="2:11" ht="37.5" customHeight="1" x14ac:dyDescent="0.25">
      <c r="B12" s="1">
        <v>8</v>
      </c>
      <c r="C12" s="5">
        <v>-6.9831000000000003</v>
      </c>
      <c r="D12" s="5">
        <v>-6.8487</v>
      </c>
      <c r="E12" s="5">
        <v>-6.9531000000000001</v>
      </c>
      <c r="F12" s="5">
        <v>-6.7953000000000001</v>
      </c>
      <c r="G12" s="5">
        <v>-6.5350000000000001</v>
      </c>
      <c r="H12" s="5">
        <v>-6.5597000000000003</v>
      </c>
      <c r="I12" s="5">
        <v>-6.6296999999999997</v>
      </c>
      <c r="J12" s="5">
        <v>-6.6805000000000003</v>
      </c>
      <c r="K12" s="5">
        <v>-6.5979000000000001</v>
      </c>
    </row>
  </sheetData>
  <mergeCells count="1">
    <mergeCell ref="B2:K2"/>
  </mergeCells>
  <conditionalFormatting sqref="C5:K12">
    <cfRule type="colorScale" priority="1">
      <colorScale>
        <cfvo type="min"/>
        <cfvo type="max"/>
        <color rgb="FF63BE7B"/>
        <color rgb="FFFFEF9C"/>
      </colorScale>
    </cfRule>
  </conditionalFormatting>
  <pageMargins left="0.75" right="0.75" top="1" bottom="1" header="0.5" footer="0.5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2"/>
  <sheetViews>
    <sheetView workbookViewId="0">
      <selection activeCell="I15" sqref="I15"/>
    </sheetView>
  </sheetViews>
  <sheetFormatPr defaultRowHeight="15" x14ac:dyDescent="0.25"/>
  <cols>
    <col min="2" max="11" width="12.85546875" customWidth="1"/>
  </cols>
  <sheetData>
    <row r="2" spans="2:11" ht="21" customHeight="1" x14ac:dyDescent="0.35">
      <c r="B2" s="22" t="s">
        <v>11</v>
      </c>
      <c r="C2" s="19"/>
      <c r="D2" s="19"/>
      <c r="E2" s="19"/>
      <c r="F2" s="19"/>
      <c r="G2" s="19"/>
      <c r="H2" s="19"/>
      <c r="I2" s="19"/>
      <c r="J2" s="19"/>
      <c r="K2" s="20"/>
    </row>
    <row r="3" spans="2:11" x14ac:dyDescent="0.25">
      <c r="B3" s="8"/>
      <c r="C3" s="8"/>
      <c r="D3" s="8"/>
      <c r="E3" s="8"/>
      <c r="F3" s="8"/>
      <c r="G3" s="8"/>
      <c r="H3" s="8"/>
      <c r="I3" s="8"/>
      <c r="J3" s="8"/>
      <c r="K3" s="8"/>
    </row>
    <row r="4" spans="2:11" ht="30" customHeight="1" x14ac:dyDescent="0.25">
      <c r="B4" s="2"/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</row>
    <row r="5" spans="2:11" ht="37.5" customHeight="1" x14ac:dyDescent="0.25">
      <c r="B5" s="1">
        <v>1</v>
      </c>
      <c r="C5" s="5">
        <v>-1.5322</v>
      </c>
      <c r="D5" s="5">
        <v>-1.5359</v>
      </c>
      <c r="E5" s="5">
        <v>-1.8960999999999999</v>
      </c>
      <c r="F5" s="5">
        <v>-1.3243</v>
      </c>
      <c r="G5" s="5">
        <v>-1.1971000000000001</v>
      </c>
      <c r="H5" s="5">
        <v>-0.96499999999999997</v>
      </c>
      <c r="I5" s="5">
        <v>-1.8091999999999999</v>
      </c>
      <c r="J5" s="5">
        <v>-1.6218999999999999</v>
      </c>
      <c r="K5" s="5">
        <v>-2.0722999999999998</v>
      </c>
    </row>
    <row r="6" spans="2:11" ht="37.5" customHeight="1" x14ac:dyDescent="0.25">
      <c r="B6" s="1">
        <v>2</v>
      </c>
      <c r="C6" s="5">
        <v>-1.2588999999999999</v>
      </c>
      <c r="D6" s="5">
        <v>-1.3056000000000001</v>
      </c>
      <c r="E6" s="5">
        <v>-1.7294</v>
      </c>
      <c r="F6" s="5">
        <v>-1.0851999999999999</v>
      </c>
      <c r="G6" s="5">
        <v>-0.94620000000000004</v>
      </c>
      <c r="H6" s="5">
        <v>-0.73260000000000003</v>
      </c>
      <c r="I6" s="5">
        <v>-1.6486000000000001</v>
      </c>
      <c r="J6" s="5">
        <v>-1.4335</v>
      </c>
      <c r="K6" s="5">
        <v>-1.9449000000000001</v>
      </c>
    </row>
    <row r="7" spans="2:11" ht="37.5" customHeight="1" x14ac:dyDescent="0.25">
      <c r="B7" s="1">
        <v>3</v>
      </c>
      <c r="C7" s="5">
        <v>-1.2156</v>
      </c>
      <c r="D7" s="5">
        <v>-1.3592</v>
      </c>
      <c r="E7" s="5">
        <v>-1.7591000000000001</v>
      </c>
      <c r="F7" s="5">
        <v>-1.1176999999999999</v>
      </c>
      <c r="G7" s="5">
        <v>-1.0022</v>
      </c>
      <c r="H7" s="5">
        <v>-0.75139999999999996</v>
      </c>
      <c r="I7" s="5">
        <v>-1.68</v>
      </c>
      <c r="J7" s="5">
        <v>-1.4618</v>
      </c>
      <c r="K7" s="5">
        <v>-1.9694</v>
      </c>
    </row>
    <row r="8" spans="2:11" ht="37.5" customHeight="1" x14ac:dyDescent="0.25">
      <c r="B8" s="1">
        <v>4</v>
      </c>
      <c r="C8" s="5">
        <v>-1.0348999999999999</v>
      </c>
      <c r="D8" s="5">
        <v>-1.2721</v>
      </c>
      <c r="E8" s="5">
        <v>-1.7023999999999999</v>
      </c>
      <c r="F8" s="5">
        <v>-1.0351999999999999</v>
      </c>
      <c r="G8" s="5">
        <v>-0.8881</v>
      </c>
      <c r="H8" s="5">
        <v>-0.6169</v>
      </c>
      <c r="I8" s="5">
        <v>-1.6235999999999999</v>
      </c>
      <c r="J8" s="5">
        <v>-1.4413</v>
      </c>
      <c r="K8" s="5">
        <v>-1.9233</v>
      </c>
    </row>
    <row r="9" spans="2:11" ht="37.5" customHeight="1" x14ac:dyDescent="0.25">
      <c r="B9" s="1">
        <v>5</v>
      </c>
      <c r="C9" s="5">
        <v>-1.4926999999999999</v>
      </c>
      <c r="D9" s="5">
        <v>-1.5125</v>
      </c>
      <c r="E9" s="5">
        <v>-1.8804000000000001</v>
      </c>
      <c r="F9" s="5">
        <v>-1.2976000000000001</v>
      </c>
      <c r="G9" s="5">
        <v>-1.1698</v>
      </c>
      <c r="H9" s="5">
        <v>-0.9284</v>
      </c>
      <c r="I9" s="5">
        <v>-1.7903</v>
      </c>
      <c r="J9" s="5">
        <v>-1.6</v>
      </c>
      <c r="K9" s="5">
        <v>-2.0568</v>
      </c>
    </row>
    <row r="10" spans="2:11" ht="37.5" customHeight="1" x14ac:dyDescent="0.25">
      <c r="B10" s="1">
        <v>6</v>
      </c>
      <c r="C10" s="5">
        <v>-1.5683</v>
      </c>
      <c r="D10" s="5">
        <v>-1.5456000000000001</v>
      </c>
      <c r="E10" s="5">
        <v>-1.9000999999999999</v>
      </c>
      <c r="F10" s="5">
        <v>-1.3427</v>
      </c>
      <c r="G10" s="5">
        <v>-1.2062999999999999</v>
      </c>
      <c r="H10" s="5">
        <v>-0.97099999999999997</v>
      </c>
      <c r="I10" s="5">
        <v>-1.8109999999999999</v>
      </c>
      <c r="J10" s="5">
        <v>-1.6464000000000001</v>
      </c>
      <c r="K10" s="5">
        <v>-2.0743</v>
      </c>
    </row>
    <row r="11" spans="2:11" ht="37.5" customHeight="1" x14ac:dyDescent="0.25">
      <c r="B11" s="1">
        <v>7</v>
      </c>
      <c r="C11" s="5">
        <v>-1.5902000000000001</v>
      </c>
      <c r="D11" s="5">
        <v>-1.5677000000000001</v>
      </c>
      <c r="E11" s="5">
        <v>-1.9209000000000001</v>
      </c>
      <c r="F11" s="5">
        <v>-1.3687</v>
      </c>
      <c r="G11" s="5">
        <v>-1.2303999999999999</v>
      </c>
      <c r="H11" s="5">
        <v>-0.99109999999999998</v>
      </c>
      <c r="I11" s="5">
        <v>-1.8298000000000001</v>
      </c>
      <c r="J11" s="5">
        <v>-1.6512</v>
      </c>
      <c r="K11" s="5">
        <v>-2.0891000000000002</v>
      </c>
    </row>
    <row r="12" spans="2:11" ht="37.5" customHeight="1" x14ac:dyDescent="0.25">
      <c r="B12" s="1">
        <v>8</v>
      </c>
      <c r="C12" s="5">
        <v>-1.2959000000000001</v>
      </c>
      <c r="D12" s="5">
        <v>-1.4329000000000001</v>
      </c>
      <c r="E12" s="5">
        <v>-1.823</v>
      </c>
      <c r="F12" s="5">
        <v>-1.1879999999999999</v>
      </c>
      <c r="G12" s="5">
        <v>-1.0974999999999999</v>
      </c>
      <c r="H12" s="5">
        <v>-0.85489999999999999</v>
      </c>
      <c r="I12" s="5">
        <v>-1.7546999999999999</v>
      </c>
      <c r="J12" s="5">
        <v>-1.544</v>
      </c>
      <c r="K12" s="5">
        <v>-2.0358999999999998</v>
      </c>
    </row>
  </sheetData>
  <mergeCells count="1">
    <mergeCell ref="B2:K2"/>
  </mergeCells>
  <conditionalFormatting sqref="C5:K12">
    <cfRule type="colorScale" priority="1">
      <colorScale>
        <cfvo type="min"/>
        <cfvo type="max"/>
        <color rgb="FF63BE7B"/>
        <color rgb="FFFFEF9C"/>
      </colorScale>
    </cfRule>
  </conditionalFormatting>
  <pageMargins left="0.75" right="0.75" top="1" bottom="1" header="0.5" footer="0.5"/>
  <pageSetup paperSize="9" orientation="portrait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2"/>
  <sheetViews>
    <sheetView workbookViewId="0">
      <selection activeCell="H25" sqref="H25"/>
    </sheetView>
  </sheetViews>
  <sheetFormatPr defaultRowHeight="15" x14ac:dyDescent="0.25"/>
  <cols>
    <col min="2" max="11" width="12.85546875" customWidth="1"/>
  </cols>
  <sheetData>
    <row r="2" spans="2:11" ht="21" customHeight="1" x14ac:dyDescent="0.35">
      <c r="B2" s="23" t="s">
        <v>12</v>
      </c>
      <c r="C2" s="19"/>
      <c r="D2" s="19"/>
      <c r="E2" s="19"/>
      <c r="F2" s="19"/>
      <c r="G2" s="19"/>
      <c r="H2" s="19"/>
      <c r="I2" s="19"/>
      <c r="J2" s="19"/>
      <c r="K2" s="20"/>
    </row>
    <row r="3" spans="2:11" x14ac:dyDescent="0.25">
      <c r="B3" s="8"/>
      <c r="C3" s="8"/>
      <c r="D3" s="8"/>
      <c r="E3" s="8"/>
      <c r="F3" s="8"/>
      <c r="G3" s="8"/>
      <c r="H3" s="8"/>
      <c r="I3" s="8"/>
      <c r="J3" s="8"/>
      <c r="K3" s="8"/>
    </row>
    <row r="4" spans="2:11" ht="30" customHeight="1" x14ac:dyDescent="0.25">
      <c r="B4" s="2"/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</row>
    <row r="5" spans="2:11" ht="37.5" customHeight="1" x14ac:dyDescent="0.25">
      <c r="B5" s="1">
        <v>1</v>
      </c>
      <c r="C5" s="5">
        <v>5.2406000000000006</v>
      </c>
      <c r="D5" s="5">
        <v>5.1503000000000014</v>
      </c>
      <c r="E5" s="5">
        <v>4.8787000000000003</v>
      </c>
      <c r="F5" s="5">
        <v>5.3394000000000004</v>
      </c>
      <c r="G5" s="5">
        <v>5.2279</v>
      </c>
      <c r="H5" s="5">
        <v>5.5110000000000001</v>
      </c>
      <c r="I5" s="5">
        <v>4.6457000000000006</v>
      </c>
      <c r="J5" s="5">
        <v>4.9024000000000001</v>
      </c>
      <c r="K5" s="5">
        <v>4.315100000000001</v>
      </c>
    </row>
    <row r="6" spans="2:11" ht="37.5" customHeight="1" x14ac:dyDescent="0.25">
      <c r="B6" s="1">
        <v>2</v>
      </c>
      <c r="C6" s="5">
        <v>5.4010000000000007</v>
      </c>
      <c r="D6" s="5">
        <v>5.1927000000000003</v>
      </c>
      <c r="E6" s="5">
        <v>4.9188999999999998</v>
      </c>
      <c r="F6" s="5">
        <v>5.4039999999999999</v>
      </c>
      <c r="G6" s="5">
        <v>5.2077999999999998</v>
      </c>
      <c r="H6" s="5">
        <v>5.4419000000000004</v>
      </c>
      <c r="I6" s="5">
        <v>4.5643000000000002</v>
      </c>
      <c r="J6" s="5">
        <v>4.8832000000000004</v>
      </c>
      <c r="K6" s="5">
        <v>4.1773000000000007</v>
      </c>
    </row>
    <row r="7" spans="2:11" ht="37.5" customHeight="1" x14ac:dyDescent="0.25">
      <c r="B7" s="1">
        <v>3</v>
      </c>
      <c r="C7" s="5">
        <v>5.0843999999999996</v>
      </c>
      <c r="D7" s="5">
        <v>4.8317999999999994</v>
      </c>
      <c r="E7" s="5">
        <v>4.5397999999999996</v>
      </c>
      <c r="F7" s="5">
        <v>5.0526999999999997</v>
      </c>
      <c r="G7" s="5">
        <v>4.899</v>
      </c>
      <c r="H7" s="5">
        <v>5.1983999999999986</v>
      </c>
      <c r="I7" s="5">
        <v>4.2577000000000007</v>
      </c>
      <c r="J7" s="5">
        <v>4.5600999999999994</v>
      </c>
      <c r="K7" s="5">
        <v>3.891</v>
      </c>
    </row>
    <row r="8" spans="2:11" ht="37.5" customHeight="1" x14ac:dyDescent="0.25">
      <c r="B8" s="1">
        <v>4</v>
      </c>
      <c r="C8" s="5">
        <v>5.3274000000000008</v>
      </c>
      <c r="D8" s="5">
        <v>4.9466000000000001</v>
      </c>
      <c r="E8" s="5">
        <v>4.6601999999999997</v>
      </c>
      <c r="F8" s="5">
        <v>5.1683000000000003</v>
      </c>
      <c r="G8" s="5">
        <v>4.9923999999999999</v>
      </c>
      <c r="H8" s="5">
        <v>5.3030999999999997</v>
      </c>
      <c r="I8" s="5">
        <v>4.3087</v>
      </c>
      <c r="J8" s="5">
        <v>4.7080000000000002</v>
      </c>
      <c r="K8" s="5">
        <v>3.927</v>
      </c>
    </row>
    <row r="9" spans="2:11" ht="37.5" customHeight="1" x14ac:dyDescent="0.25">
      <c r="B9" s="1">
        <v>5</v>
      </c>
      <c r="C9" s="5">
        <v>4.9459999999999997</v>
      </c>
      <c r="D9" s="5">
        <v>4.8605</v>
      </c>
      <c r="E9" s="5">
        <v>4.5716000000000001</v>
      </c>
      <c r="F9" s="5">
        <v>5.0475000000000003</v>
      </c>
      <c r="G9" s="5">
        <v>4.9530999999999992</v>
      </c>
      <c r="H9" s="5">
        <v>5.2415000000000003</v>
      </c>
      <c r="I9" s="5">
        <v>4.3525999999999998</v>
      </c>
      <c r="J9" s="5">
        <v>4.6112000000000002</v>
      </c>
      <c r="K9" s="5">
        <v>4.0262000000000002</v>
      </c>
    </row>
    <row r="10" spans="2:11" ht="37.5" customHeight="1" x14ac:dyDescent="0.25">
      <c r="B10" s="1">
        <v>6</v>
      </c>
      <c r="C10" s="5">
        <v>4.8210000000000006</v>
      </c>
      <c r="D10" s="5">
        <v>4.7856999999999994</v>
      </c>
      <c r="E10" s="5">
        <v>4.5</v>
      </c>
      <c r="F10" s="5">
        <v>4.9632000000000014</v>
      </c>
      <c r="G10" s="5">
        <v>4.8791000000000002</v>
      </c>
      <c r="H10" s="5">
        <v>5.1689999999999996</v>
      </c>
      <c r="I10" s="5">
        <v>4.2857000000000003</v>
      </c>
      <c r="J10" s="5">
        <v>4.5167000000000002</v>
      </c>
      <c r="K10" s="5">
        <v>3.9597000000000002</v>
      </c>
    </row>
    <row r="11" spans="2:11" ht="37.5" customHeight="1" x14ac:dyDescent="0.25">
      <c r="B11" s="1">
        <v>7</v>
      </c>
      <c r="C11" s="5">
        <v>4.4927999999999999</v>
      </c>
      <c r="D11" s="5">
        <v>4.4539999999999997</v>
      </c>
      <c r="E11" s="5">
        <v>4.1722999999999999</v>
      </c>
      <c r="F11" s="5">
        <v>4.6045999999999996</v>
      </c>
      <c r="G11" s="5">
        <v>4.5439999999999996</v>
      </c>
      <c r="H11" s="5">
        <v>4.8380999999999998</v>
      </c>
      <c r="I11" s="5">
        <v>3.9413999999999998</v>
      </c>
      <c r="J11" s="5">
        <v>4.1808999999999994</v>
      </c>
      <c r="K11" s="5">
        <v>3.6242000000000001</v>
      </c>
    </row>
    <row r="12" spans="2:11" ht="37.5" customHeight="1" x14ac:dyDescent="0.25">
      <c r="B12" s="1">
        <v>8</v>
      </c>
      <c r="C12" s="5">
        <v>5.6872000000000007</v>
      </c>
      <c r="D12" s="5">
        <v>5.4157999999999999</v>
      </c>
      <c r="E12" s="5">
        <v>5.1301000000000014</v>
      </c>
      <c r="F12" s="5">
        <v>5.6073000000000004</v>
      </c>
      <c r="G12" s="5">
        <v>5.4375</v>
      </c>
      <c r="H12" s="5">
        <v>5.7048000000000014</v>
      </c>
      <c r="I12" s="5">
        <v>4.875</v>
      </c>
      <c r="J12" s="5">
        <v>5.1364999999999998</v>
      </c>
      <c r="K12" s="5">
        <v>4.5620000000000003</v>
      </c>
    </row>
  </sheetData>
  <mergeCells count="1">
    <mergeCell ref="B2:K2"/>
  </mergeCells>
  <conditionalFormatting sqref="C5:K12">
    <cfRule type="colorScale" priority="1">
      <colorScale>
        <cfvo type="min"/>
        <cfvo type="max"/>
        <color rgb="FF63BE7B"/>
        <color rgb="FFFFEF9C"/>
      </colorScale>
    </cfRule>
  </conditionalFormatting>
  <pageMargins left="0.75" right="0.75" top="1" bottom="1" header="0.5" footer="0.5"/>
  <pageSetup paperSize="9" orientation="portrait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2"/>
  <sheetViews>
    <sheetView workbookViewId="0">
      <selection activeCell="D15" sqref="D15"/>
    </sheetView>
  </sheetViews>
  <sheetFormatPr defaultRowHeight="15" x14ac:dyDescent="0.25"/>
  <cols>
    <col min="2" max="11" width="12.85546875" customWidth="1"/>
  </cols>
  <sheetData>
    <row r="2" spans="2:11" ht="21" customHeight="1" x14ac:dyDescent="0.35">
      <c r="B2" s="21" t="s">
        <v>13</v>
      </c>
      <c r="C2" s="19"/>
      <c r="D2" s="19"/>
      <c r="E2" s="19"/>
      <c r="F2" s="19"/>
      <c r="G2" s="19"/>
      <c r="H2" s="19"/>
      <c r="I2" s="19"/>
      <c r="J2" s="19"/>
      <c r="K2" s="20"/>
    </row>
    <row r="3" spans="2:11" x14ac:dyDescent="0.25">
      <c r="B3" s="8"/>
      <c r="C3" s="8"/>
      <c r="D3" s="8"/>
      <c r="E3" s="8"/>
      <c r="F3" s="8"/>
      <c r="G3" s="8"/>
      <c r="H3" s="8"/>
      <c r="I3" s="8"/>
      <c r="J3" s="8"/>
      <c r="K3" s="8"/>
    </row>
    <row r="4" spans="2:11" ht="30" customHeight="1" x14ac:dyDescent="0.25">
      <c r="B4" s="2"/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</row>
    <row r="5" spans="2:11" ht="37.5" customHeight="1" x14ac:dyDescent="0.25">
      <c r="B5" s="1">
        <v>1</v>
      </c>
      <c r="C5" s="5">
        <v>-5.3673999999999999</v>
      </c>
      <c r="D5" s="5">
        <v>-5.2827999999999999</v>
      </c>
      <c r="E5" s="5">
        <v>-5.3738999999999999</v>
      </c>
      <c r="F5" s="5">
        <v>-5.2641999999999998</v>
      </c>
      <c r="G5" s="5">
        <v>-5.0236999999999998</v>
      </c>
      <c r="H5" s="5">
        <v>-5.0633999999999997</v>
      </c>
      <c r="I5" s="5">
        <v>-5.0292000000000003</v>
      </c>
      <c r="J5" s="5">
        <v>-5.1105999999999998</v>
      </c>
      <c r="K5" s="5">
        <v>-4.9603999999999999</v>
      </c>
    </row>
    <row r="6" spans="2:11" ht="37.5" customHeight="1" x14ac:dyDescent="0.25">
      <c r="B6" s="1">
        <v>2</v>
      </c>
      <c r="C6" s="5">
        <v>-5.3070000000000004</v>
      </c>
      <c r="D6" s="5">
        <v>-5.1790000000000003</v>
      </c>
      <c r="E6" s="5">
        <v>-5.3110999999999997</v>
      </c>
      <c r="F6" s="5">
        <v>-5.1665999999999999</v>
      </c>
      <c r="G6" s="5">
        <v>-4.8628999999999998</v>
      </c>
      <c r="H6" s="5">
        <v>-4.8777999999999997</v>
      </c>
      <c r="I6" s="5">
        <v>-4.8712</v>
      </c>
      <c r="J6" s="5">
        <v>-4.9932999999999996</v>
      </c>
      <c r="K6" s="5">
        <v>-4.7911999999999999</v>
      </c>
    </row>
    <row r="7" spans="2:11" ht="37.5" customHeight="1" x14ac:dyDescent="0.25">
      <c r="B7" s="1">
        <v>3</v>
      </c>
      <c r="C7" s="5">
        <v>-4.9157999999999999</v>
      </c>
      <c r="D7" s="5">
        <v>-4.8220999999999998</v>
      </c>
      <c r="E7" s="5">
        <v>-4.9231999999999996</v>
      </c>
      <c r="F7" s="5">
        <v>-4.7996999999999996</v>
      </c>
      <c r="G7" s="5">
        <v>-4.5392999999999999</v>
      </c>
      <c r="H7" s="5">
        <v>-4.5793999999999997</v>
      </c>
      <c r="I7" s="5">
        <v>-4.5495999999999999</v>
      </c>
      <c r="J7" s="5">
        <v>-4.6452999999999998</v>
      </c>
      <c r="K7" s="5">
        <v>-4.4782000000000002</v>
      </c>
    </row>
    <row r="8" spans="2:11" ht="37.5" customHeight="1" x14ac:dyDescent="0.25">
      <c r="B8" s="1">
        <v>4</v>
      </c>
      <c r="C8" s="5">
        <v>-4.9275000000000002</v>
      </c>
      <c r="D8" s="5">
        <v>-4.8112000000000004</v>
      </c>
      <c r="E8" s="5">
        <v>-4.9470999999999998</v>
      </c>
      <c r="F8" s="5">
        <v>-4.8007</v>
      </c>
      <c r="G8" s="5">
        <v>-4.4957000000000003</v>
      </c>
      <c r="H8" s="5">
        <v>-4.5274999999999999</v>
      </c>
      <c r="I8" s="5">
        <v>-4.5056000000000003</v>
      </c>
      <c r="J8" s="5">
        <v>-4.6300999999999997</v>
      </c>
      <c r="K8" s="5">
        <v>-4.4326999999999996</v>
      </c>
    </row>
    <row r="9" spans="2:11" ht="37.5" customHeight="1" x14ac:dyDescent="0.25">
      <c r="B9" s="1">
        <v>5</v>
      </c>
      <c r="C9" s="5">
        <v>-4.9939999999999998</v>
      </c>
      <c r="D9" s="5">
        <v>-4.9287999999999998</v>
      </c>
      <c r="E9" s="5">
        <v>-5.0056000000000003</v>
      </c>
      <c r="F9" s="5">
        <v>-4.9055</v>
      </c>
      <c r="G9" s="5">
        <v>-4.6870000000000003</v>
      </c>
      <c r="H9" s="5">
        <v>-4.7236000000000002</v>
      </c>
      <c r="I9" s="5">
        <v>-4.6879</v>
      </c>
      <c r="J9" s="5">
        <v>-4.7606000000000002</v>
      </c>
      <c r="K9" s="5">
        <v>-4.6254999999999997</v>
      </c>
    </row>
    <row r="10" spans="2:11" ht="37.5" customHeight="1" x14ac:dyDescent="0.25">
      <c r="B10" s="1">
        <v>6</v>
      </c>
      <c r="C10" s="5">
        <v>-4.8589000000000002</v>
      </c>
      <c r="D10" s="5">
        <v>-4.8021000000000003</v>
      </c>
      <c r="E10" s="5">
        <v>-4.8773</v>
      </c>
      <c r="F10" s="5">
        <v>-4.7750000000000004</v>
      </c>
      <c r="G10" s="5">
        <v>-4.5598000000000001</v>
      </c>
      <c r="H10" s="5">
        <v>-4.5995999999999997</v>
      </c>
      <c r="I10" s="5">
        <v>-4.5590999999999999</v>
      </c>
      <c r="J10" s="5">
        <v>-4.6291000000000002</v>
      </c>
      <c r="K10" s="5">
        <v>-4.4983000000000004</v>
      </c>
    </row>
    <row r="11" spans="2:11" ht="37.5" customHeight="1" x14ac:dyDescent="0.25">
      <c r="B11" s="1">
        <v>7</v>
      </c>
      <c r="C11" s="5">
        <v>-4.6828000000000003</v>
      </c>
      <c r="D11" s="5">
        <v>-4.6100000000000003</v>
      </c>
      <c r="E11" s="5">
        <v>-4.6958000000000002</v>
      </c>
      <c r="F11" s="5">
        <v>-4.59</v>
      </c>
      <c r="G11" s="5">
        <v>-4.3643000000000001</v>
      </c>
      <c r="H11" s="5">
        <v>-4.4042000000000003</v>
      </c>
      <c r="I11" s="5">
        <v>-4.3670999999999998</v>
      </c>
      <c r="J11" s="5">
        <v>-4.4400000000000004</v>
      </c>
      <c r="K11" s="5">
        <v>-4.3064999999999998</v>
      </c>
    </row>
    <row r="12" spans="2:11" ht="37.5" customHeight="1" x14ac:dyDescent="0.25">
      <c r="B12" s="1">
        <v>8</v>
      </c>
      <c r="C12" s="5">
        <v>-5.5288000000000004</v>
      </c>
      <c r="D12" s="5">
        <v>-5.4043999999999999</v>
      </c>
      <c r="E12" s="5">
        <v>-5.4932999999999996</v>
      </c>
      <c r="F12" s="5">
        <v>-5.3536999999999999</v>
      </c>
      <c r="G12" s="5">
        <v>-5.1185999999999998</v>
      </c>
      <c r="H12" s="5">
        <v>-5.1460999999999997</v>
      </c>
      <c r="I12" s="5">
        <v>-5.1199000000000003</v>
      </c>
      <c r="J12" s="5">
        <v>-5.2108999999999996</v>
      </c>
      <c r="K12" s="5">
        <v>-5.0566000000000004</v>
      </c>
    </row>
  </sheetData>
  <mergeCells count="1">
    <mergeCell ref="B2:K2"/>
  </mergeCells>
  <conditionalFormatting sqref="C5:K12">
    <cfRule type="colorScale" priority="1">
      <colorScale>
        <cfvo type="min"/>
        <cfvo type="max"/>
        <color rgb="FF63BE7B"/>
        <color rgb="FFFFEF9C"/>
      </colorScale>
    </cfRule>
  </conditionalFormatting>
  <pageMargins left="0.75" right="0.75" top="1" bottom="1" header="0.5" footer="0.5"/>
  <pageSetup paperSize="9" orientation="portrait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2"/>
  <sheetViews>
    <sheetView workbookViewId="0">
      <selection activeCell="D13" sqref="D13"/>
    </sheetView>
  </sheetViews>
  <sheetFormatPr defaultRowHeight="15" x14ac:dyDescent="0.25"/>
  <cols>
    <col min="2" max="11" width="12.85546875" customWidth="1"/>
  </cols>
  <sheetData>
    <row r="2" spans="2:11" ht="21" customHeight="1" x14ac:dyDescent="0.35">
      <c r="B2" s="22" t="s">
        <v>14</v>
      </c>
      <c r="C2" s="19"/>
      <c r="D2" s="19"/>
      <c r="E2" s="19"/>
      <c r="F2" s="19"/>
      <c r="G2" s="19"/>
      <c r="H2" s="19"/>
      <c r="I2" s="19"/>
      <c r="J2" s="19"/>
      <c r="K2" s="20"/>
    </row>
    <row r="3" spans="2:11" x14ac:dyDescent="0.25">
      <c r="B3" s="8"/>
      <c r="C3" s="8"/>
      <c r="D3" s="8"/>
      <c r="E3" s="8"/>
      <c r="F3" s="8"/>
      <c r="G3" s="8"/>
      <c r="H3" s="8"/>
      <c r="I3" s="8"/>
      <c r="J3" s="8"/>
      <c r="K3" s="8"/>
    </row>
    <row r="4" spans="2:11" ht="30" customHeight="1" x14ac:dyDescent="0.25">
      <c r="B4" s="2"/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</row>
    <row r="5" spans="2:11" ht="37.5" customHeight="1" x14ac:dyDescent="0.25">
      <c r="B5" s="1">
        <v>1</v>
      </c>
      <c r="C5" s="5">
        <v>-2.7806999999999999</v>
      </c>
      <c r="D5" s="5">
        <v>-2.7787000000000002</v>
      </c>
      <c r="E5" s="5">
        <v>-3.2105999999999999</v>
      </c>
      <c r="F5" s="5">
        <v>-2.6217000000000001</v>
      </c>
      <c r="G5" s="5">
        <v>-2.4701</v>
      </c>
      <c r="H5" s="5">
        <v>-2.1945000000000001</v>
      </c>
      <c r="I5" s="5">
        <v>-3.2385000000000002</v>
      </c>
      <c r="J5" s="5">
        <v>-2.8336999999999999</v>
      </c>
      <c r="K5" s="5">
        <v>-3.3193999999999999</v>
      </c>
    </row>
    <row r="6" spans="2:11" ht="37.5" customHeight="1" x14ac:dyDescent="0.25">
      <c r="B6" s="1">
        <v>2</v>
      </c>
      <c r="C6" s="5">
        <v>-2.4401999999999999</v>
      </c>
      <c r="D6" s="5">
        <v>-2.5596999999999999</v>
      </c>
      <c r="E6" s="5">
        <v>-3.0446</v>
      </c>
      <c r="F6" s="5">
        <v>-2.3839999999999999</v>
      </c>
      <c r="G6" s="5">
        <v>-2.2231000000000001</v>
      </c>
      <c r="H6" s="5">
        <v>-1.9436</v>
      </c>
      <c r="I6" s="5">
        <v>-3.0771000000000002</v>
      </c>
      <c r="J6" s="5">
        <v>-2.6515</v>
      </c>
      <c r="K6" s="5">
        <v>-3.1840999999999999</v>
      </c>
    </row>
    <row r="7" spans="2:11" ht="37.5" customHeight="1" x14ac:dyDescent="0.25">
      <c r="B7" s="1">
        <v>3</v>
      </c>
      <c r="C7" s="5">
        <v>-2.4971999999999999</v>
      </c>
      <c r="D7" s="5">
        <v>-2.6172</v>
      </c>
      <c r="E7" s="5">
        <v>-3.0788000000000002</v>
      </c>
      <c r="F7" s="5">
        <v>-2.4445999999999999</v>
      </c>
      <c r="G7" s="5">
        <v>-2.2890999999999999</v>
      </c>
      <c r="H7" s="5">
        <v>-2.0095000000000001</v>
      </c>
      <c r="I7" s="5">
        <v>-3.1158000000000001</v>
      </c>
      <c r="J7" s="5">
        <v>-2.6861999999999999</v>
      </c>
      <c r="K7" s="5">
        <v>-3.2124999999999999</v>
      </c>
    </row>
    <row r="8" spans="2:11" ht="37.5" customHeight="1" x14ac:dyDescent="0.25">
      <c r="B8" s="1">
        <v>4</v>
      </c>
      <c r="C8" s="5">
        <v>-2.3279999999999998</v>
      </c>
      <c r="D8" s="5">
        <v>-2.5257000000000001</v>
      </c>
      <c r="E8" s="5">
        <v>-3.0164</v>
      </c>
      <c r="F8" s="5">
        <v>-2.3578000000000001</v>
      </c>
      <c r="G8" s="5">
        <v>-2.1724000000000001</v>
      </c>
      <c r="H8" s="5">
        <v>-1.8858999999999999</v>
      </c>
      <c r="I8" s="5">
        <v>-3.0569000000000002</v>
      </c>
      <c r="J8" s="5">
        <v>-2.6128</v>
      </c>
      <c r="K8" s="5">
        <v>-3.1602999999999999</v>
      </c>
    </row>
    <row r="9" spans="2:11" ht="37.5" customHeight="1" x14ac:dyDescent="0.25">
      <c r="B9" s="1">
        <v>5</v>
      </c>
      <c r="C9" s="5">
        <v>-2.7753999999999999</v>
      </c>
      <c r="D9" s="5">
        <v>-2.7725</v>
      </c>
      <c r="E9" s="5">
        <v>-3.2078000000000002</v>
      </c>
      <c r="F9" s="5">
        <v>-2.6126999999999998</v>
      </c>
      <c r="G9" s="5">
        <v>-2.4624999999999999</v>
      </c>
      <c r="H9" s="5">
        <v>-2.1844000000000001</v>
      </c>
      <c r="I9" s="5">
        <v>-3.2334000000000001</v>
      </c>
      <c r="J9" s="5">
        <v>-2.8254999999999999</v>
      </c>
      <c r="K9" s="5">
        <v>-3.3085</v>
      </c>
    </row>
    <row r="10" spans="2:11" ht="37.5" customHeight="1" x14ac:dyDescent="0.25">
      <c r="B10" s="1">
        <v>6</v>
      </c>
      <c r="C10" s="5">
        <v>-2.8576999999999999</v>
      </c>
      <c r="D10" s="5">
        <v>-2.8151000000000002</v>
      </c>
      <c r="E10" s="5">
        <v>-3.2374000000000001</v>
      </c>
      <c r="F10" s="5">
        <v>-2.6568999999999998</v>
      </c>
      <c r="G10" s="5">
        <v>-2.5108999999999999</v>
      </c>
      <c r="H10" s="5">
        <v>-2.2414999999999998</v>
      </c>
      <c r="I10" s="5">
        <v>-3.2639999999999998</v>
      </c>
      <c r="J10" s="5">
        <v>-2.8748999999999998</v>
      </c>
      <c r="K10" s="5">
        <v>-3.3372999999999999</v>
      </c>
    </row>
    <row r="11" spans="2:11" ht="37.5" customHeight="1" x14ac:dyDescent="0.25">
      <c r="B11" s="1">
        <v>7</v>
      </c>
      <c r="C11" s="5">
        <v>-2.8658999999999999</v>
      </c>
      <c r="D11" s="5">
        <v>-2.8273000000000001</v>
      </c>
      <c r="E11" s="5">
        <v>-3.2502</v>
      </c>
      <c r="F11" s="5">
        <v>-2.6686999999999999</v>
      </c>
      <c r="G11" s="5">
        <v>-2.5230999999999999</v>
      </c>
      <c r="H11" s="5">
        <v>-2.2511999999999999</v>
      </c>
      <c r="I11" s="5">
        <v>-3.2747000000000002</v>
      </c>
      <c r="J11" s="5">
        <v>-2.8761999999999999</v>
      </c>
      <c r="K11" s="5">
        <v>-3.347</v>
      </c>
    </row>
    <row r="12" spans="2:11" ht="37.5" customHeight="1" x14ac:dyDescent="0.25">
      <c r="B12" s="1">
        <v>8</v>
      </c>
      <c r="C12" s="5">
        <v>-2.6156000000000001</v>
      </c>
      <c r="D12" s="5">
        <v>-2.6966000000000001</v>
      </c>
      <c r="E12" s="5">
        <v>-3.1419999999999999</v>
      </c>
      <c r="F12" s="5">
        <v>-2.5211999999999999</v>
      </c>
      <c r="G12" s="5">
        <v>-2.3942000000000001</v>
      </c>
      <c r="H12" s="5">
        <v>-2.1204000000000001</v>
      </c>
      <c r="I12" s="5">
        <v>-3.1810999999999998</v>
      </c>
      <c r="J12" s="5">
        <v>-2.7646000000000002</v>
      </c>
      <c r="K12" s="5">
        <v>-3.2673999999999999</v>
      </c>
    </row>
  </sheetData>
  <mergeCells count="1">
    <mergeCell ref="B2:K2"/>
  </mergeCells>
  <conditionalFormatting sqref="C5:K12">
    <cfRule type="colorScale" priority="1">
      <colorScale>
        <cfvo type="min"/>
        <cfvo type="max"/>
        <color rgb="FF63BE7B"/>
        <color rgb="FFFFEF9C"/>
      </colorScale>
    </cfRule>
  </conditionalFormatting>
  <pageMargins left="0.75" right="0.75" top="1" bottom="1" header="0.5" footer="0.5"/>
  <pageSetup paperSize="9" orientation="portrait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2"/>
  <sheetViews>
    <sheetView workbookViewId="0">
      <selection activeCell="E15" sqref="E15"/>
    </sheetView>
  </sheetViews>
  <sheetFormatPr defaultRowHeight="15" x14ac:dyDescent="0.25"/>
  <cols>
    <col min="2" max="11" width="12.85546875" customWidth="1"/>
  </cols>
  <sheetData>
    <row r="2" spans="2:11" ht="21" customHeight="1" x14ac:dyDescent="0.35">
      <c r="B2" s="23" t="s">
        <v>15</v>
      </c>
      <c r="C2" s="19"/>
      <c r="D2" s="19"/>
      <c r="E2" s="19"/>
      <c r="F2" s="19"/>
      <c r="G2" s="19"/>
      <c r="H2" s="19"/>
      <c r="I2" s="19"/>
      <c r="J2" s="19"/>
      <c r="K2" s="20"/>
    </row>
    <row r="3" spans="2:11" x14ac:dyDescent="0.25">
      <c r="B3" s="8"/>
      <c r="C3" s="8"/>
      <c r="D3" s="8"/>
      <c r="E3" s="8"/>
      <c r="F3" s="8"/>
      <c r="G3" s="8"/>
      <c r="H3" s="8"/>
      <c r="I3" s="8"/>
      <c r="J3" s="8"/>
      <c r="K3" s="8"/>
    </row>
    <row r="4" spans="2:11" ht="30" customHeight="1" x14ac:dyDescent="0.25">
      <c r="B4" s="2"/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</row>
    <row r="5" spans="2:11" ht="37.5" customHeight="1" x14ac:dyDescent="0.25">
      <c r="B5" s="1">
        <v>1</v>
      </c>
      <c r="C5" s="5">
        <v>2.5867</v>
      </c>
      <c r="D5" s="5">
        <v>2.5041000000000002</v>
      </c>
      <c r="E5" s="5">
        <v>2.1633</v>
      </c>
      <c r="F5" s="5">
        <v>2.6425000000000001</v>
      </c>
      <c r="G5" s="5">
        <v>2.5535999999999999</v>
      </c>
      <c r="H5" s="5">
        <v>2.8689</v>
      </c>
      <c r="I5" s="5">
        <v>1.7907</v>
      </c>
      <c r="J5" s="5">
        <v>2.2768999999999999</v>
      </c>
      <c r="K5" s="5">
        <v>1.641</v>
      </c>
    </row>
    <row r="6" spans="2:11" ht="37.5" customHeight="1" x14ac:dyDescent="0.25">
      <c r="B6" s="1">
        <v>2</v>
      </c>
      <c r="C6" s="5">
        <v>2.8668</v>
      </c>
      <c r="D6" s="5">
        <v>2.6193</v>
      </c>
      <c r="E6" s="5">
        <v>2.2665000000000002</v>
      </c>
      <c r="F6" s="5">
        <v>2.7826</v>
      </c>
      <c r="G6" s="5">
        <v>2.6398000000000001</v>
      </c>
      <c r="H6" s="5">
        <v>2.9342000000000001</v>
      </c>
      <c r="I6" s="5">
        <v>1.7941</v>
      </c>
      <c r="J6" s="5">
        <v>2.3418000000000001</v>
      </c>
      <c r="K6" s="5">
        <v>1.6071</v>
      </c>
    </row>
    <row r="7" spans="2:11" ht="37.5" customHeight="1" x14ac:dyDescent="0.25">
      <c r="B7" s="1">
        <v>3</v>
      </c>
      <c r="C7" s="5">
        <v>2.4186000000000001</v>
      </c>
      <c r="D7" s="5">
        <v>2.2048999999999999</v>
      </c>
      <c r="E7" s="5">
        <v>1.8443999999999989</v>
      </c>
      <c r="F7" s="5">
        <v>2.3551000000000002</v>
      </c>
      <c r="G7" s="5">
        <v>2.2502</v>
      </c>
      <c r="H7" s="5">
        <v>2.5699000000000001</v>
      </c>
      <c r="I7" s="5">
        <v>1.4338</v>
      </c>
      <c r="J7" s="5">
        <v>1.9591000000000001</v>
      </c>
      <c r="K7" s="5">
        <v>1.2657</v>
      </c>
    </row>
    <row r="8" spans="2:11" ht="37.5" customHeight="1" x14ac:dyDescent="0.25">
      <c r="B8" s="1">
        <v>4</v>
      </c>
      <c r="C8" s="5">
        <v>2.5994999999999999</v>
      </c>
      <c r="D8" s="5">
        <v>2.2854999999999999</v>
      </c>
      <c r="E8" s="5">
        <v>1.9307000000000001</v>
      </c>
      <c r="F8" s="5">
        <v>2.4428999999999998</v>
      </c>
      <c r="G8" s="5">
        <v>2.3233000000000001</v>
      </c>
      <c r="H8" s="5">
        <v>2.6415999999999999</v>
      </c>
      <c r="I8" s="5">
        <v>1.4487000000000001</v>
      </c>
      <c r="J8" s="5">
        <v>2.0173000000000001</v>
      </c>
      <c r="K8" s="5">
        <v>1.2724</v>
      </c>
    </row>
    <row r="9" spans="2:11" ht="37.5" customHeight="1" x14ac:dyDescent="0.25">
      <c r="B9" s="1">
        <v>5</v>
      </c>
      <c r="C9" s="5">
        <v>2.2185999999999999</v>
      </c>
      <c r="D9" s="5">
        <v>2.1562999999999999</v>
      </c>
      <c r="E9" s="5">
        <v>1.7978000000000001</v>
      </c>
      <c r="F9" s="5">
        <v>2.2928000000000002</v>
      </c>
      <c r="G9" s="5">
        <v>2.2244999999999999</v>
      </c>
      <c r="H9" s="5">
        <v>2.5392000000000001</v>
      </c>
      <c r="I9" s="5">
        <v>1.4544999999999999</v>
      </c>
      <c r="J9" s="5">
        <v>1.9351</v>
      </c>
      <c r="K9" s="5">
        <v>1.3169999999999999</v>
      </c>
    </row>
    <row r="10" spans="2:11" ht="37.5" customHeight="1" x14ac:dyDescent="0.25">
      <c r="B10" s="1">
        <v>6</v>
      </c>
      <c r="C10" s="5">
        <v>2.0011999999999999</v>
      </c>
      <c r="D10" s="5">
        <v>1.9870000000000001</v>
      </c>
      <c r="E10" s="5">
        <v>1.6398999999999999</v>
      </c>
      <c r="F10" s="5">
        <v>2.118100000000001</v>
      </c>
      <c r="G10" s="5">
        <v>2.0489000000000002</v>
      </c>
      <c r="H10" s="5">
        <v>2.3580999999999999</v>
      </c>
      <c r="I10" s="5">
        <v>1.2950999999999999</v>
      </c>
      <c r="J10" s="5">
        <v>1.7542</v>
      </c>
      <c r="K10" s="5">
        <v>1.161</v>
      </c>
    </row>
    <row r="11" spans="2:11" ht="37.5" customHeight="1" x14ac:dyDescent="0.25">
      <c r="B11" s="1">
        <v>7</v>
      </c>
      <c r="C11" s="5">
        <v>1.8169</v>
      </c>
      <c r="D11" s="5">
        <v>1.7827</v>
      </c>
      <c r="E11" s="5">
        <v>1.4456</v>
      </c>
      <c r="F11" s="5">
        <v>1.9213</v>
      </c>
      <c r="G11" s="5">
        <v>1.8411999999999999</v>
      </c>
      <c r="H11" s="5">
        <v>2.153</v>
      </c>
      <c r="I11" s="5">
        <v>1.0924</v>
      </c>
      <c r="J11" s="5">
        <v>1.563800000000001</v>
      </c>
      <c r="K11" s="5">
        <v>0.9594999999999998</v>
      </c>
    </row>
    <row r="12" spans="2:11" ht="37.5" customHeight="1" x14ac:dyDescent="0.25">
      <c r="B12" s="1">
        <v>8</v>
      </c>
      <c r="C12" s="5">
        <v>2.9131999999999998</v>
      </c>
      <c r="D12" s="5">
        <v>2.7078000000000002</v>
      </c>
      <c r="E12" s="5">
        <v>2.3513000000000002</v>
      </c>
      <c r="F12" s="5">
        <v>2.8325</v>
      </c>
      <c r="G12" s="5">
        <v>2.7244000000000002</v>
      </c>
      <c r="H12" s="5">
        <v>3.0257000000000001</v>
      </c>
      <c r="I12" s="5">
        <v>1.938800000000001</v>
      </c>
      <c r="J12" s="5">
        <v>2.446299999999999</v>
      </c>
      <c r="K12" s="5">
        <v>1.789200000000001</v>
      </c>
    </row>
  </sheetData>
  <mergeCells count="1">
    <mergeCell ref="B2:K2"/>
  </mergeCells>
  <conditionalFormatting sqref="C5:K12">
    <cfRule type="colorScale" priority="1">
      <colorScale>
        <cfvo type="min"/>
        <cfvo type="max"/>
        <color rgb="FF63BE7B"/>
        <color rgb="FFFFEF9C"/>
      </colorScale>
    </cfRule>
  </conditionalFormatting>
  <pageMargins left="0.75" right="0.75" top="1" bottom="1" header="0.5" footer="0.5"/>
  <pageSetup paperSize="9" orientation="portrait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2"/>
  <sheetViews>
    <sheetView workbookViewId="0">
      <selection activeCell="M38" sqref="M38"/>
    </sheetView>
  </sheetViews>
  <sheetFormatPr defaultRowHeight="15" x14ac:dyDescent="0.25"/>
  <cols>
    <col min="2" max="11" width="12.85546875" customWidth="1"/>
  </cols>
  <sheetData>
    <row r="2" spans="2:11" ht="21" customHeight="1" x14ac:dyDescent="0.35">
      <c r="B2" s="21" t="s">
        <v>16</v>
      </c>
      <c r="C2" s="19"/>
      <c r="D2" s="19"/>
      <c r="E2" s="19"/>
      <c r="F2" s="19"/>
      <c r="G2" s="19"/>
      <c r="H2" s="19"/>
      <c r="I2" s="19"/>
      <c r="J2" s="19"/>
      <c r="K2" s="20"/>
    </row>
    <row r="3" spans="2:11" x14ac:dyDescent="0.25">
      <c r="B3" s="8"/>
      <c r="C3" s="8"/>
      <c r="D3" s="8"/>
      <c r="E3" s="8"/>
      <c r="F3" s="8"/>
      <c r="G3" s="8"/>
      <c r="H3" s="8"/>
      <c r="I3" s="8"/>
      <c r="J3" s="8"/>
      <c r="K3" s="8"/>
    </row>
    <row r="4" spans="2:11" ht="30" customHeight="1" x14ac:dyDescent="0.25">
      <c r="B4" s="2"/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</row>
    <row r="5" spans="2:11" ht="37.5" customHeight="1" x14ac:dyDescent="0.25">
      <c r="B5" s="1">
        <v>1</v>
      </c>
      <c r="C5" s="5">
        <v>-5.7596999999999996</v>
      </c>
      <c r="D5" s="5">
        <v>-5.6826999999999996</v>
      </c>
      <c r="E5" s="5">
        <v>-5.7645999999999997</v>
      </c>
      <c r="F5" s="5">
        <v>-5.6669</v>
      </c>
      <c r="G5" s="5">
        <v>-5.4330999999999996</v>
      </c>
      <c r="H5" s="5">
        <v>-5.4810999999999996</v>
      </c>
      <c r="I5" s="5">
        <v>-5.4307999999999996</v>
      </c>
      <c r="J5" s="5">
        <v>-5.5205000000000002</v>
      </c>
      <c r="K5" s="5">
        <v>-5.3924000000000003</v>
      </c>
    </row>
    <row r="6" spans="2:11" ht="37.5" customHeight="1" x14ac:dyDescent="0.25">
      <c r="B6" s="1">
        <v>2</v>
      </c>
      <c r="C6" s="5">
        <v>-5.6817000000000002</v>
      </c>
      <c r="D6" s="5">
        <v>-5.5457000000000001</v>
      </c>
      <c r="E6" s="5">
        <v>-5.6792999999999996</v>
      </c>
      <c r="F6" s="5">
        <v>-5.5396000000000001</v>
      </c>
      <c r="G6" s="5">
        <v>-5.2243000000000004</v>
      </c>
      <c r="H6" s="5">
        <v>-5.2417999999999996</v>
      </c>
      <c r="I6" s="5">
        <v>-5.2262000000000004</v>
      </c>
      <c r="J6" s="5">
        <v>-5.3635999999999999</v>
      </c>
      <c r="K6" s="5">
        <v>-5.1841999999999997</v>
      </c>
    </row>
    <row r="7" spans="2:11" ht="37.5" customHeight="1" x14ac:dyDescent="0.25">
      <c r="B7" s="1">
        <v>3</v>
      </c>
      <c r="C7" s="5">
        <v>-5.3337000000000003</v>
      </c>
      <c r="D7" s="5">
        <v>-5.2392000000000003</v>
      </c>
      <c r="E7" s="5">
        <v>-5.3365999999999998</v>
      </c>
      <c r="F7" s="5">
        <v>-5.2210999999999999</v>
      </c>
      <c r="G7" s="5">
        <v>-4.9630000000000001</v>
      </c>
      <c r="H7" s="5">
        <v>-5.0096999999999996</v>
      </c>
      <c r="I7" s="5">
        <v>-4.9653999999999998</v>
      </c>
      <c r="J7" s="5">
        <v>-5.07</v>
      </c>
      <c r="K7" s="5">
        <v>-4.9231999999999996</v>
      </c>
    </row>
    <row r="8" spans="2:11" ht="37.5" customHeight="1" x14ac:dyDescent="0.25">
      <c r="B8" s="1">
        <v>4</v>
      </c>
      <c r="C8" s="5">
        <v>-5.3696000000000002</v>
      </c>
      <c r="D8" s="5">
        <v>-5.2495000000000003</v>
      </c>
      <c r="E8" s="5">
        <v>-5.3794000000000004</v>
      </c>
      <c r="F8" s="5">
        <v>-5.2366000000000001</v>
      </c>
      <c r="G8" s="5">
        <v>-4.9343000000000004</v>
      </c>
      <c r="H8" s="5">
        <v>-4.9699</v>
      </c>
      <c r="I8" s="5">
        <v>-4.9347000000000003</v>
      </c>
      <c r="J8" s="5">
        <v>-5.1372999999999998</v>
      </c>
      <c r="K8" s="5">
        <v>-4.8962000000000003</v>
      </c>
    </row>
    <row r="9" spans="2:11" ht="37.5" customHeight="1" x14ac:dyDescent="0.25">
      <c r="B9" s="1">
        <v>5</v>
      </c>
      <c r="C9" s="5">
        <v>-5.3936000000000002</v>
      </c>
      <c r="D9" s="5">
        <v>-5.3327</v>
      </c>
      <c r="E9" s="5">
        <v>-5.4038000000000004</v>
      </c>
      <c r="F9" s="5">
        <v>-5.3087999999999997</v>
      </c>
      <c r="G9" s="5">
        <v>-5.0952999999999999</v>
      </c>
      <c r="H9" s="5">
        <v>-5.1432000000000002</v>
      </c>
      <c r="I9" s="5">
        <v>-5.09</v>
      </c>
      <c r="J9" s="5">
        <v>-5.1726999999999999</v>
      </c>
      <c r="K9" s="5">
        <v>-5.0533999999999999</v>
      </c>
    </row>
    <row r="10" spans="2:11" ht="37.5" customHeight="1" x14ac:dyDescent="0.25">
      <c r="B10" s="1">
        <v>6</v>
      </c>
      <c r="C10" s="5">
        <v>-5.2355999999999998</v>
      </c>
      <c r="D10" s="5">
        <v>-5.1832000000000003</v>
      </c>
      <c r="E10" s="5">
        <v>-5.2503000000000002</v>
      </c>
      <c r="F10" s="5">
        <v>-5.1632999999999996</v>
      </c>
      <c r="G10" s="5">
        <v>-4.9443000000000001</v>
      </c>
      <c r="H10" s="5">
        <v>-4.9988999999999999</v>
      </c>
      <c r="I10" s="5">
        <v>-4.9377000000000004</v>
      </c>
      <c r="J10" s="5">
        <v>-5.0159000000000002</v>
      </c>
      <c r="K10" s="5">
        <v>-4.8983999999999996</v>
      </c>
    </row>
    <row r="11" spans="2:11" ht="37.5" customHeight="1" x14ac:dyDescent="0.25">
      <c r="B11" s="1">
        <v>7</v>
      </c>
      <c r="C11" s="5">
        <v>-5.0399000000000003</v>
      </c>
      <c r="D11" s="5">
        <v>-4.9787999999999997</v>
      </c>
      <c r="E11" s="5">
        <v>-5.0484999999999998</v>
      </c>
      <c r="F11" s="5">
        <v>-4.9560000000000004</v>
      </c>
      <c r="G11" s="5">
        <v>-4.7426000000000004</v>
      </c>
      <c r="H11" s="5">
        <v>-4.7911999999999999</v>
      </c>
      <c r="I11" s="5">
        <v>-4.7347999999999999</v>
      </c>
      <c r="J11" s="5">
        <v>-4.8185000000000002</v>
      </c>
      <c r="K11" s="5">
        <v>-4.6967999999999996</v>
      </c>
    </row>
    <row r="12" spans="2:11" ht="37.5" customHeight="1" x14ac:dyDescent="0.25">
      <c r="B12" s="1">
        <v>8</v>
      </c>
      <c r="C12" s="5">
        <v>-5.8856999999999999</v>
      </c>
      <c r="D12" s="5">
        <v>-5.7580999999999998</v>
      </c>
      <c r="E12" s="5">
        <v>-5.8606999999999996</v>
      </c>
      <c r="F12" s="5">
        <v>-5.7337999999999996</v>
      </c>
      <c r="G12" s="5">
        <v>-5.5171000000000001</v>
      </c>
      <c r="H12" s="5">
        <v>-5.5495000000000001</v>
      </c>
      <c r="I12" s="5">
        <v>-5.5109000000000004</v>
      </c>
      <c r="J12" s="5">
        <v>-5.6120000000000001</v>
      </c>
      <c r="K12" s="5">
        <v>-5.53</v>
      </c>
    </row>
  </sheetData>
  <mergeCells count="1">
    <mergeCell ref="B2:K2"/>
  </mergeCells>
  <conditionalFormatting sqref="C5:K12">
    <cfRule type="colorScale" priority="1">
      <colorScale>
        <cfvo type="min"/>
        <cfvo type="max"/>
        <color rgb="FF63BE7B"/>
        <color rgb="FFFFEF9C"/>
      </colorScale>
    </cfRule>
  </conditionalFormatting>
  <pageMargins left="0.75" right="0.75" top="1" bottom="1" header="0.5" footer="0.5"/>
  <pageSetup paperSize="9" orientation="portrait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2"/>
  <sheetViews>
    <sheetView workbookViewId="0">
      <selection activeCell="M38" sqref="M38"/>
    </sheetView>
  </sheetViews>
  <sheetFormatPr defaultRowHeight="15" x14ac:dyDescent="0.25"/>
  <cols>
    <col min="2" max="11" width="12.85546875" customWidth="1"/>
  </cols>
  <sheetData>
    <row r="2" spans="2:11" ht="21" customHeight="1" x14ac:dyDescent="0.35">
      <c r="B2" s="22" t="s">
        <v>17</v>
      </c>
      <c r="C2" s="19"/>
      <c r="D2" s="19"/>
      <c r="E2" s="19"/>
      <c r="F2" s="19"/>
      <c r="G2" s="19"/>
      <c r="H2" s="19"/>
      <c r="I2" s="19"/>
      <c r="J2" s="19"/>
      <c r="K2" s="20"/>
    </row>
    <row r="3" spans="2:11" x14ac:dyDescent="0.25">
      <c r="B3" s="8"/>
      <c r="C3" s="8"/>
      <c r="D3" s="8"/>
      <c r="E3" s="8"/>
      <c r="F3" s="8"/>
      <c r="G3" s="8"/>
      <c r="H3" s="8"/>
      <c r="I3" s="8"/>
      <c r="J3" s="8"/>
      <c r="K3" s="8"/>
    </row>
    <row r="4" spans="2:11" ht="30" customHeight="1" x14ac:dyDescent="0.25">
      <c r="B4" s="2"/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</row>
    <row r="5" spans="2:11" ht="37.5" customHeight="1" x14ac:dyDescent="0.25">
      <c r="B5" s="1">
        <v>1</v>
      </c>
      <c r="C5" s="5">
        <v>-2.0605000000000002</v>
      </c>
      <c r="D5" s="5">
        <v>-2.0865999999999998</v>
      </c>
      <c r="E5" s="5">
        <v>-2.4302000000000001</v>
      </c>
      <c r="F5" s="5">
        <v>-1.9320999999999999</v>
      </c>
      <c r="G5" s="5">
        <v>-1.7726</v>
      </c>
      <c r="H5" s="5">
        <v>-1.573</v>
      </c>
      <c r="I5" s="5">
        <v>-2.4630000000000001</v>
      </c>
      <c r="J5" s="5">
        <v>-2.1368</v>
      </c>
      <c r="K5" s="5">
        <v>-2.5798999999999999</v>
      </c>
    </row>
    <row r="6" spans="2:11" ht="37.5" customHeight="1" x14ac:dyDescent="0.25">
      <c r="B6" s="1">
        <v>2</v>
      </c>
      <c r="C6" s="5">
        <v>-1.7402</v>
      </c>
      <c r="D6" s="5">
        <v>-1.8615999999999999</v>
      </c>
      <c r="E6" s="5">
        <v>-2.2635000000000001</v>
      </c>
      <c r="F6" s="5">
        <v>-1.6791</v>
      </c>
      <c r="G6" s="5">
        <v>-1.5249999999999999</v>
      </c>
      <c r="H6" s="5">
        <v>-1.3142</v>
      </c>
      <c r="I6" s="5">
        <v>-2.3003</v>
      </c>
      <c r="J6" s="5">
        <v>-1.9486000000000001</v>
      </c>
      <c r="K6" s="5">
        <v>-2.4477000000000002</v>
      </c>
    </row>
    <row r="7" spans="2:11" ht="37.5" customHeight="1" x14ac:dyDescent="0.25">
      <c r="B7" s="1">
        <v>3</v>
      </c>
      <c r="C7" s="5">
        <v>-1.7566999999999999</v>
      </c>
      <c r="D7" s="5">
        <v>-1.9169</v>
      </c>
      <c r="E7" s="5">
        <v>-2.2965</v>
      </c>
      <c r="F7" s="5">
        <v>-1.7408999999999999</v>
      </c>
      <c r="G7" s="5">
        <v>-1.5894999999999999</v>
      </c>
      <c r="H7" s="5">
        <v>-1.3803000000000001</v>
      </c>
      <c r="I7" s="5">
        <v>-2.3384</v>
      </c>
      <c r="J7" s="5">
        <v>-1.99</v>
      </c>
      <c r="K7" s="5">
        <v>-2.4802</v>
      </c>
    </row>
    <row r="8" spans="2:11" ht="37.5" customHeight="1" x14ac:dyDescent="0.25">
      <c r="B8" s="1">
        <v>4</v>
      </c>
      <c r="C8" s="5">
        <v>-1.5945</v>
      </c>
      <c r="D8" s="5">
        <v>-1.8262</v>
      </c>
      <c r="E8" s="5">
        <v>-2.2397999999999998</v>
      </c>
      <c r="F8" s="5">
        <v>-1.6660999999999999</v>
      </c>
      <c r="G8" s="5">
        <v>-1.4806999999999999</v>
      </c>
      <c r="H8" s="5">
        <v>-1.2558</v>
      </c>
      <c r="I8" s="5">
        <v>-2.2787000000000002</v>
      </c>
      <c r="J8" s="5">
        <v>-1.9692000000000001</v>
      </c>
      <c r="K8" s="5">
        <v>-2.4329999999999998</v>
      </c>
    </row>
    <row r="9" spans="2:11" ht="37.5" customHeight="1" x14ac:dyDescent="0.25">
      <c r="B9" s="1">
        <v>5</v>
      </c>
      <c r="C9" s="5">
        <v>-2.0392999999999999</v>
      </c>
      <c r="D9" s="5">
        <v>-2.0718000000000001</v>
      </c>
      <c r="E9" s="5">
        <v>-2.4205999999999999</v>
      </c>
      <c r="F9" s="5">
        <v>-1.9100999999999999</v>
      </c>
      <c r="G9" s="5">
        <v>-1.7548999999999999</v>
      </c>
      <c r="H9" s="5">
        <v>-1.5516000000000001</v>
      </c>
      <c r="I9" s="5">
        <v>-2.4508000000000001</v>
      </c>
      <c r="J9" s="5">
        <v>-2.1219999999999999</v>
      </c>
      <c r="K9" s="5">
        <v>-2.5674999999999999</v>
      </c>
    </row>
    <row r="10" spans="2:11" ht="37.5" customHeight="1" x14ac:dyDescent="0.25">
      <c r="B10" s="1">
        <v>6</v>
      </c>
      <c r="C10" s="5">
        <v>-2.1044</v>
      </c>
      <c r="D10" s="5">
        <v>-2.1013999999999999</v>
      </c>
      <c r="E10" s="5">
        <v>-2.4388999999999998</v>
      </c>
      <c r="F10" s="5">
        <v>-1.9369000000000001</v>
      </c>
      <c r="G10" s="5">
        <v>-1.7878000000000001</v>
      </c>
      <c r="H10" s="5">
        <v>-1.5899000000000001</v>
      </c>
      <c r="I10" s="5">
        <v>-2.4681000000000002</v>
      </c>
      <c r="J10" s="5">
        <v>-2.1608999999999998</v>
      </c>
      <c r="K10" s="5">
        <v>-2.5832000000000002</v>
      </c>
    </row>
    <row r="11" spans="2:11" ht="37.5" customHeight="1" x14ac:dyDescent="0.25">
      <c r="B11" s="1">
        <v>7</v>
      </c>
      <c r="C11" s="5">
        <v>-2.1305999999999998</v>
      </c>
      <c r="D11" s="5">
        <v>-2.1252</v>
      </c>
      <c r="E11" s="5">
        <v>-2.4617</v>
      </c>
      <c r="F11" s="5">
        <v>-1.9633</v>
      </c>
      <c r="G11" s="5">
        <v>-1.8119000000000001</v>
      </c>
      <c r="H11" s="5">
        <v>-1.6147</v>
      </c>
      <c r="I11" s="5">
        <v>-2.4904000000000002</v>
      </c>
      <c r="J11" s="5">
        <v>-2.1701000000000001</v>
      </c>
      <c r="K11" s="5">
        <v>-2.6</v>
      </c>
    </row>
    <row r="12" spans="2:11" ht="37.5" customHeight="1" x14ac:dyDescent="0.25">
      <c r="B12" s="1">
        <v>8</v>
      </c>
      <c r="C12" s="5">
        <v>-1.7854000000000001</v>
      </c>
      <c r="D12" s="5">
        <v>-1.9522999999999999</v>
      </c>
      <c r="E12" s="5">
        <v>-2.3380000000000001</v>
      </c>
      <c r="F12" s="5">
        <v>-1.7898000000000001</v>
      </c>
      <c r="G12" s="5">
        <v>-1.6822999999999999</v>
      </c>
      <c r="H12" s="5">
        <v>-1.484</v>
      </c>
      <c r="I12" s="5">
        <v>-2.3946000000000001</v>
      </c>
      <c r="J12" s="5">
        <v>-2.0501</v>
      </c>
      <c r="K12" s="5">
        <v>-2.5398999999999998</v>
      </c>
    </row>
  </sheetData>
  <mergeCells count="1">
    <mergeCell ref="B2:K2"/>
  </mergeCells>
  <conditionalFormatting sqref="C5:K12">
    <cfRule type="colorScale" priority="1">
      <colorScale>
        <cfvo type="min"/>
        <cfvo type="max"/>
        <color rgb="FF63BE7B"/>
        <color rgb="FFFFEF9C"/>
      </colorScale>
    </cfRule>
  </conditionalFormatting>
  <pageMargins left="0.75" right="0.75" top="1" bottom="1" header="0.5" footer="0.5"/>
  <pageSetup paperSize="9" orientation="portrait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2"/>
  <sheetViews>
    <sheetView workbookViewId="0">
      <selection activeCell="M38" sqref="M38"/>
    </sheetView>
  </sheetViews>
  <sheetFormatPr defaultRowHeight="15" x14ac:dyDescent="0.25"/>
  <cols>
    <col min="2" max="11" width="12.85546875" customWidth="1"/>
  </cols>
  <sheetData>
    <row r="2" spans="2:11" ht="21" customHeight="1" x14ac:dyDescent="0.35">
      <c r="B2" s="23" t="s">
        <v>18</v>
      </c>
      <c r="C2" s="19"/>
      <c r="D2" s="19"/>
      <c r="E2" s="19"/>
      <c r="F2" s="19"/>
      <c r="G2" s="19"/>
      <c r="H2" s="19"/>
      <c r="I2" s="19"/>
      <c r="J2" s="19"/>
      <c r="K2" s="20"/>
    </row>
    <row r="3" spans="2:11" x14ac:dyDescent="0.25">
      <c r="B3" s="8"/>
      <c r="C3" s="8"/>
      <c r="D3" s="8"/>
      <c r="E3" s="8"/>
      <c r="F3" s="8"/>
      <c r="G3" s="8"/>
      <c r="H3" s="8"/>
      <c r="I3" s="8"/>
      <c r="J3" s="8"/>
      <c r="K3" s="8"/>
    </row>
    <row r="4" spans="2:11" ht="30" customHeight="1" x14ac:dyDescent="0.25">
      <c r="B4" s="2"/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</row>
    <row r="5" spans="2:11" ht="37.5" customHeight="1" x14ac:dyDescent="0.25">
      <c r="B5" s="1">
        <v>1</v>
      </c>
      <c r="C5" s="5">
        <v>3.6991999999999989</v>
      </c>
      <c r="D5" s="5">
        <v>3.5960999999999999</v>
      </c>
      <c r="E5" s="5">
        <v>3.3344</v>
      </c>
      <c r="F5" s="5">
        <v>3.7347999999999999</v>
      </c>
      <c r="G5" s="5">
        <v>3.6604999999999999</v>
      </c>
      <c r="H5" s="5">
        <v>3.9081000000000001</v>
      </c>
      <c r="I5" s="5">
        <v>2.9678</v>
      </c>
      <c r="J5" s="5">
        <v>3.3837000000000002</v>
      </c>
      <c r="K5" s="5">
        <v>2.8125</v>
      </c>
    </row>
    <row r="6" spans="2:11" ht="37.5" customHeight="1" x14ac:dyDescent="0.25">
      <c r="B6" s="1">
        <v>2</v>
      </c>
      <c r="C6" s="5">
        <v>3.9415</v>
      </c>
      <c r="D6" s="5">
        <v>3.6840999999999999</v>
      </c>
      <c r="E6" s="5">
        <v>3.4157999999999999</v>
      </c>
      <c r="F6" s="5">
        <v>3.8605</v>
      </c>
      <c r="G6" s="5">
        <v>3.6993</v>
      </c>
      <c r="H6" s="5">
        <v>3.9276</v>
      </c>
      <c r="I6" s="5">
        <v>2.9258999999999999</v>
      </c>
      <c r="J6" s="5">
        <v>3.415</v>
      </c>
      <c r="K6" s="5">
        <v>2.736499999999999</v>
      </c>
    </row>
    <row r="7" spans="2:11" ht="37.5" customHeight="1" x14ac:dyDescent="0.25">
      <c r="B7" s="1">
        <v>3</v>
      </c>
      <c r="C7" s="5">
        <v>3.577</v>
      </c>
      <c r="D7" s="5">
        <v>3.3222999999999998</v>
      </c>
      <c r="E7" s="5">
        <v>3.0400999999999998</v>
      </c>
      <c r="F7" s="5">
        <v>3.4802</v>
      </c>
      <c r="G7" s="5">
        <v>3.3734999999999999</v>
      </c>
      <c r="H7" s="5">
        <v>3.6294</v>
      </c>
      <c r="I7" s="5">
        <v>2.6269999999999998</v>
      </c>
      <c r="J7" s="5">
        <v>3.08</v>
      </c>
      <c r="K7" s="5">
        <v>2.4430000000000001</v>
      </c>
    </row>
    <row r="8" spans="2:11" ht="37.5" customHeight="1" x14ac:dyDescent="0.25">
      <c r="B8" s="1">
        <v>4</v>
      </c>
      <c r="C8" s="5">
        <v>3.7751000000000001</v>
      </c>
      <c r="D8" s="5">
        <v>3.4232999999999998</v>
      </c>
      <c r="E8" s="5">
        <v>3.1396000000000011</v>
      </c>
      <c r="F8" s="5">
        <v>3.5705</v>
      </c>
      <c r="G8" s="5">
        <v>3.4536000000000011</v>
      </c>
      <c r="H8" s="5">
        <v>3.7141000000000002</v>
      </c>
      <c r="I8" s="5">
        <v>2.6560000000000001</v>
      </c>
      <c r="J8" s="5">
        <v>3.1680999999999999</v>
      </c>
      <c r="K8" s="5">
        <v>2.4632000000000009</v>
      </c>
    </row>
    <row r="9" spans="2:11" ht="37.5" customHeight="1" x14ac:dyDescent="0.25">
      <c r="B9" s="1">
        <v>5</v>
      </c>
      <c r="C9" s="5">
        <v>3.3542999999999998</v>
      </c>
      <c r="D9" s="5">
        <v>3.2608999999999999</v>
      </c>
      <c r="E9" s="5">
        <v>2.983200000000001</v>
      </c>
      <c r="F9" s="5">
        <v>3.3986999999999998</v>
      </c>
      <c r="G9" s="5">
        <v>3.3403999999999998</v>
      </c>
      <c r="H9" s="5">
        <v>3.5916000000000001</v>
      </c>
      <c r="I9" s="5">
        <v>2.6392000000000002</v>
      </c>
      <c r="J9" s="5">
        <v>3.0507</v>
      </c>
      <c r="K9" s="5">
        <v>2.4859</v>
      </c>
    </row>
    <row r="10" spans="2:11" ht="37.5" customHeight="1" x14ac:dyDescent="0.25">
      <c r="B10" s="1">
        <v>6</v>
      </c>
      <c r="C10" s="5">
        <v>3.1312000000000002</v>
      </c>
      <c r="D10" s="5">
        <v>3.0817999999999999</v>
      </c>
      <c r="E10" s="5">
        <v>2.8113999999999999</v>
      </c>
      <c r="F10" s="5">
        <v>3.226399999999999</v>
      </c>
      <c r="G10" s="5">
        <v>3.1564999999999999</v>
      </c>
      <c r="H10" s="5">
        <v>3.4089999999999998</v>
      </c>
      <c r="I10" s="5">
        <v>2.4695999999999998</v>
      </c>
      <c r="J10" s="5">
        <v>2.855</v>
      </c>
      <c r="K10" s="5">
        <v>2.315199999999999</v>
      </c>
    </row>
    <row r="11" spans="2:11" ht="37.5" customHeight="1" x14ac:dyDescent="0.25">
      <c r="B11" s="1">
        <v>7</v>
      </c>
      <c r="C11" s="5">
        <v>2.9093</v>
      </c>
      <c r="D11" s="5">
        <v>2.8536000000000001</v>
      </c>
      <c r="E11" s="5">
        <v>2.5868000000000002</v>
      </c>
      <c r="F11" s="5">
        <v>2.9927000000000001</v>
      </c>
      <c r="G11" s="5">
        <v>2.9306999999999999</v>
      </c>
      <c r="H11" s="5">
        <v>3.1764999999999999</v>
      </c>
      <c r="I11" s="5">
        <v>2.2444000000000002</v>
      </c>
      <c r="J11" s="5">
        <v>2.6484000000000001</v>
      </c>
      <c r="K11" s="5">
        <v>2.0968</v>
      </c>
    </row>
    <row r="12" spans="2:11" ht="37.5" customHeight="1" x14ac:dyDescent="0.25">
      <c r="B12" s="1">
        <v>8</v>
      </c>
      <c r="C12" s="5">
        <v>4.1002999999999998</v>
      </c>
      <c r="D12" s="5">
        <v>3.8058000000000001</v>
      </c>
      <c r="E12" s="5">
        <v>3.5226999999999991</v>
      </c>
      <c r="F12" s="5">
        <v>3.944</v>
      </c>
      <c r="G12" s="5">
        <v>3.8348</v>
      </c>
      <c r="H12" s="5">
        <v>4.0655000000000001</v>
      </c>
      <c r="I12" s="5">
        <v>3.1162999999999998</v>
      </c>
      <c r="J12" s="5">
        <v>3.5619000000000001</v>
      </c>
      <c r="K12" s="5">
        <v>2.9901</v>
      </c>
    </row>
  </sheetData>
  <mergeCells count="1">
    <mergeCell ref="B2:K2"/>
  </mergeCells>
  <conditionalFormatting sqref="C5:K12">
    <cfRule type="colorScale" priority="1">
      <colorScale>
        <cfvo type="min"/>
        <cfvo type="max"/>
        <color rgb="FF63BE7B"/>
        <color rgb="FFFFEF9C"/>
      </colorScale>
    </cfRule>
  </conditionalFormatting>
  <pageMargins left="0.75" right="0.75" top="1" bottom="1" header="0.5" footer="0.5"/>
  <pageSetup paperSize="9" orientation="portrait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12"/>
  <sheetViews>
    <sheetView workbookViewId="0">
      <selection activeCell="V31" sqref="V31"/>
    </sheetView>
  </sheetViews>
  <sheetFormatPr defaultRowHeight="15" x14ac:dyDescent="0.25"/>
  <cols>
    <col min="2" max="11" width="12.85546875" customWidth="1"/>
  </cols>
  <sheetData>
    <row r="2" spans="2:14" ht="21" customHeight="1" x14ac:dyDescent="0.35">
      <c r="B2" s="21" t="s">
        <v>19</v>
      </c>
      <c r="C2" s="19"/>
      <c r="D2" s="19"/>
      <c r="E2" s="19"/>
      <c r="F2" s="19"/>
      <c r="G2" s="19"/>
      <c r="H2" s="19"/>
      <c r="I2" s="19"/>
      <c r="J2" s="19"/>
      <c r="K2" s="20"/>
    </row>
    <row r="3" spans="2:14" x14ac:dyDescent="0.25">
      <c r="B3" s="8"/>
      <c r="C3" s="8"/>
      <c r="D3" s="8"/>
      <c r="E3" s="8"/>
      <c r="F3" s="8"/>
      <c r="G3" s="8"/>
      <c r="H3" s="8"/>
      <c r="I3" s="8"/>
      <c r="J3" s="8"/>
      <c r="K3" s="8"/>
    </row>
    <row r="4" spans="2:14" ht="30" customHeight="1" x14ac:dyDescent="0.25">
      <c r="B4" s="2"/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  <c r="M4" t="s">
        <v>20</v>
      </c>
    </row>
    <row r="5" spans="2:14" ht="37.5" customHeight="1" x14ac:dyDescent="0.25">
      <c r="B5" s="1">
        <v>1</v>
      </c>
      <c r="C5" s="5">
        <v>-6.0266000000000002</v>
      </c>
      <c r="D5" s="5">
        <v>-5.9641000000000002</v>
      </c>
      <c r="E5" s="5">
        <v>-6.0076999999999998</v>
      </c>
      <c r="F5" s="5">
        <v>-5.9508999999999999</v>
      </c>
      <c r="G5" s="5">
        <v>-5.8346999999999998</v>
      </c>
      <c r="H5" s="5">
        <v>-5.8533999999999997</v>
      </c>
      <c r="I5" s="5">
        <v>-5.8472</v>
      </c>
      <c r="J5" s="5">
        <v>-5.8872</v>
      </c>
      <c r="K5" s="5">
        <v>-5.8117999999999999</v>
      </c>
      <c r="M5" s="6">
        <f t="shared" ref="M5:M12" si="0">AVERAGE(C5:K5)</f>
        <v>-5.9092888888888888</v>
      </c>
      <c r="N5">
        <v>2</v>
      </c>
    </row>
    <row r="6" spans="2:14" ht="37.5" customHeight="1" x14ac:dyDescent="0.25">
      <c r="B6" s="1">
        <v>2</v>
      </c>
      <c r="C6" s="5">
        <v>-5.9574999999999996</v>
      </c>
      <c r="D6" s="5">
        <v>-5.8319999999999999</v>
      </c>
      <c r="E6" s="5">
        <v>-5.9053000000000004</v>
      </c>
      <c r="F6" s="5">
        <v>-5.8216999999999999</v>
      </c>
      <c r="G6" s="5">
        <v>-5.6689999999999996</v>
      </c>
      <c r="H6" s="5">
        <v>-5.6673</v>
      </c>
      <c r="I6" s="5">
        <v>-5.6928000000000001</v>
      </c>
      <c r="J6" s="5">
        <v>-5.7571000000000003</v>
      </c>
      <c r="K6" s="5">
        <v>-5.6463000000000001</v>
      </c>
      <c r="M6" s="6">
        <f t="shared" si="0"/>
        <v>-5.7721111111111112</v>
      </c>
      <c r="N6">
        <v>3</v>
      </c>
    </row>
    <row r="7" spans="2:14" ht="37.5" customHeight="1" x14ac:dyDescent="0.25">
      <c r="B7" s="1">
        <v>3</v>
      </c>
      <c r="C7" s="5">
        <v>-5.5587</v>
      </c>
      <c r="D7" s="5">
        <v>-5.4802999999999997</v>
      </c>
      <c r="E7" s="5">
        <v>-5.5267999999999997</v>
      </c>
      <c r="F7" s="5">
        <v>-5.4622999999999999</v>
      </c>
      <c r="G7" s="5">
        <v>-5.3391000000000002</v>
      </c>
      <c r="H7" s="5">
        <v>-5.3590999999999998</v>
      </c>
      <c r="I7" s="5">
        <v>-5.3552999999999997</v>
      </c>
      <c r="J7" s="5">
        <v>-5.4</v>
      </c>
      <c r="K7" s="5">
        <v>-5.3136999999999999</v>
      </c>
      <c r="M7" s="6">
        <f t="shared" si="0"/>
        <v>-5.4216999999999986</v>
      </c>
      <c r="N7">
        <v>7</v>
      </c>
    </row>
    <row r="8" spans="2:14" ht="37.5" customHeight="1" x14ac:dyDescent="0.25">
      <c r="B8" s="1">
        <v>4</v>
      </c>
      <c r="C8" s="5">
        <v>-5.6097000000000001</v>
      </c>
      <c r="D8" s="5">
        <v>-5.4954000000000001</v>
      </c>
      <c r="E8" s="5">
        <v>-5.5697000000000001</v>
      </c>
      <c r="F8" s="5">
        <v>-5.4858000000000002</v>
      </c>
      <c r="G8" s="5">
        <v>-5.3335999999999997</v>
      </c>
      <c r="H8" s="5">
        <v>-5.3418999999999999</v>
      </c>
      <c r="I8" s="5">
        <v>-5.3525999999999998</v>
      </c>
      <c r="J8" s="5">
        <v>-5.4890999999999996</v>
      </c>
      <c r="K8" s="5">
        <v>-5.3070000000000004</v>
      </c>
      <c r="M8" s="6">
        <f t="shared" si="0"/>
        <v>-5.4427555555555562</v>
      </c>
      <c r="N8">
        <v>6</v>
      </c>
    </row>
    <row r="9" spans="2:14" ht="37.5" customHeight="1" x14ac:dyDescent="0.25">
      <c r="B9" s="1">
        <v>5</v>
      </c>
      <c r="C9" s="5">
        <v>-5.7152000000000003</v>
      </c>
      <c r="D9" s="5">
        <v>-5.6725000000000003</v>
      </c>
      <c r="E9" s="5">
        <v>-5.7060000000000004</v>
      </c>
      <c r="F9" s="5">
        <v>-5.6573000000000002</v>
      </c>
      <c r="G9" s="5">
        <v>-5.5533999999999999</v>
      </c>
      <c r="H9" s="5">
        <v>-5.5755999999999997</v>
      </c>
      <c r="I9" s="5">
        <v>-5.56</v>
      </c>
      <c r="J9" s="5">
        <v>-5.5982000000000003</v>
      </c>
      <c r="K9" s="5">
        <v>-5.5263999999999998</v>
      </c>
      <c r="M9" s="6">
        <f t="shared" si="0"/>
        <v>-5.6182888888888893</v>
      </c>
      <c r="N9">
        <v>4</v>
      </c>
    </row>
    <row r="10" spans="2:14" ht="37.5" customHeight="1" x14ac:dyDescent="0.25">
      <c r="B10" s="1">
        <v>6</v>
      </c>
      <c r="C10" s="5">
        <v>-5.5662000000000003</v>
      </c>
      <c r="D10" s="5">
        <v>-5.5335000000000001</v>
      </c>
      <c r="E10" s="5">
        <v>-5.5681000000000003</v>
      </c>
      <c r="F10" s="5">
        <v>-5.5157999999999996</v>
      </c>
      <c r="G10" s="5">
        <v>-5.4130000000000003</v>
      </c>
      <c r="H10" s="5">
        <v>-5.4406999999999996</v>
      </c>
      <c r="I10" s="5">
        <v>-5.4219999999999997</v>
      </c>
      <c r="J10" s="5">
        <v>-5.4568000000000003</v>
      </c>
      <c r="K10" s="5">
        <v>-5.3906999999999998</v>
      </c>
      <c r="M10" s="6">
        <f t="shared" si="0"/>
        <v>-5.4785333333333339</v>
      </c>
      <c r="N10">
        <v>5</v>
      </c>
    </row>
    <row r="11" spans="2:14" ht="37.5" customHeight="1" x14ac:dyDescent="0.25">
      <c r="B11" s="1">
        <v>7</v>
      </c>
      <c r="C11" s="5">
        <v>-5.3636999999999997</v>
      </c>
      <c r="D11" s="5">
        <v>-5.3338000000000001</v>
      </c>
      <c r="E11" s="5">
        <v>-5.3535000000000004</v>
      </c>
      <c r="F11" s="5">
        <v>-5.2923</v>
      </c>
      <c r="G11" s="5">
        <v>-5.2092999999999998</v>
      </c>
      <c r="H11" s="5">
        <v>-5.226</v>
      </c>
      <c r="I11" s="5">
        <v>-5.1923000000000004</v>
      </c>
      <c r="J11" s="5">
        <v>-5.2263000000000002</v>
      </c>
      <c r="K11" s="5">
        <v>-5.1703999999999999</v>
      </c>
      <c r="M11" s="6">
        <f t="shared" si="0"/>
        <v>-5.263066666666667</v>
      </c>
      <c r="N11">
        <v>8</v>
      </c>
    </row>
    <row r="12" spans="2:14" ht="37.5" customHeight="1" x14ac:dyDescent="0.25">
      <c r="B12" s="1">
        <v>8</v>
      </c>
      <c r="C12" s="5">
        <v>-6.1687000000000003</v>
      </c>
      <c r="D12" s="5">
        <v>-6.0815000000000001</v>
      </c>
      <c r="E12" s="5">
        <v>-6.0937000000000001</v>
      </c>
      <c r="F12" s="5">
        <v>-6.0416999999999996</v>
      </c>
      <c r="G12" s="5">
        <v>-5.9569999999999999</v>
      </c>
      <c r="H12" s="5">
        <v>-5.9702999999999999</v>
      </c>
      <c r="I12" s="5">
        <v>-5.9695</v>
      </c>
      <c r="J12" s="5">
        <v>-6.0223000000000004</v>
      </c>
      <c r="K12" s="5">
        <v>-5.9786000000000001</v>
      </c>
      <c r="M12" s="6">
        <f t="shared" si="0"/>
        <v>-6.031477777777777</v>
      </c>
      <c r="N12">
        <v>1</v>
      </c>
    </row>
  </sheetData>
  <mergeCells count="1">
    <mergeCell ref="B2:K2"/>
  </mergeCells>
  <conditionalFormatting sqref="C5:K12">
    <cfRule type="colorScale" priority="6">
      <colorScale>
        <cfvo type="min"/>
        <cfvo type="max"/>
        <color rgb="FF63BE7B"/>
        <color rgb="FFFFEF9C"/>
      </colorScale>
    </cfRule>
  </conditionalFormatting>
  <conditionalFormatting sqref="M5:M12">
    <cfRule type="colorScale" priority="2">
      <colorScale>
        <cfvo type="min"/>
        <cfvo type="max"/>
        <color rgb="FF63BE7B"/>
        <color rgb="FFFCFCFF"/>
      </colorScale>
    </cfRule>
  </conditionalFormatting>
  <pageMargins left="0.75" right="0.75" top="1" bottom="1" header="0.5" footer="0.5"/>
  <pageSetup paperSize="9" orientation="portrait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5"/>
  <sheetViews>
    <sheetView workbookViewId="0">
      <selection activeCell="I21" sqref="I21"/>
    </sheetView>
  </sheetViews>
  <sheetFormatPr defaultRowHeight="15" x14ac:dyDescent="0.25"/>
  <cols>
    <col min="2" max="11" width="12.85546875" customWidth="1"/>
  </cols>
  <sheetData>
    <row r="2" spans="2:11" ht="21" customHeight="1" x14ac:dyDescent="0.35">
      <c r="B2" s="22" t="s">
        <v>21</v>
      </c>
      <c r="C2" s="19"/>
      <c r="D2" s="19"/>
      <c r="E2" s="19"/>
      <c r="F2" s="19"/>
      <c r="G2" s="19"/>
      <c r="H2" s="19"/>
      <c r="I2" s="19"/>
      <c r="J2" s="19"/>
      <c r="K2" s="20"/>
    </row>
    <row r="3" spans="2:11" x14ac:dyDescent="0.25">
      <c r="B3" s="8"/>
      <c r="C3" s="8"/>
      <c r="D3" s="8"/>
      <c r="E3" s="8"/>
      <c r="F3" s="8"/>
      <c r="G3" s="8"/>
      <c r="H3" s="8"/>
      <c r="I3" s="8"/>
      <c r="J3" s="8"/>
      <c r="K3" s="8"/>
    </row>
    <row r="4" spans="2:11" ht="30" customHeight="1" x14ac:dyDescent="0.25">
      <c r="B4" s="2"/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</row>
    <row r="5" spans="2:11" ht="37.5" customHeight="1" x14ac:dyDescent="0.25">
      <c r="B5" s="1">
        <v>1</v>
      </c>
      <c r="C5" s="5">
        <v>-1.9063000000000001</v>
      </c>
      <c r="D5" s="5">
        <v>-1.9774</v>
      </c>
      <c r="E5" s="5">
        <v>-2.2589999999999999</v>
      </c>
      <c r="F5" s="5">
        <v>-1.7345999999999999</v>
      </c>
      <c r="G5" s="5">
        <v>-1.7454000000000001</v>
      </c>
      <c r="H5" s="5">
        <v>-1.4883</v>
      </c>
      <c r="I5" s="5">
        <v>-2.4039999999999999</v>
      </c>
      <c r="J5" s="5">
        <v>-2.1627000000000001</v>
      </c>
      <c r="K5" s="5">
        <v>-2.5825999999999998</v>
      </c>
    </row>
    <row r="6" spans="2:11" ht="37.5" customHeight="1" x14ac:dyDescent="0.25">
      <c r="B6" s="1">
        <v>2</v>
      </c>
      <c r="C6" s="5">
        <v>-1.7388999999999999</v>
      </c>
      <c r="D6" s="5">
        <v>-1.8653</v>
      </c>
      <c r="E6" s="5">
        <v>-2.1806999999999999</v>
      </c>
      <c r="F6" s="5">
        <v>-1.6077999999999999</v>
      </c>
      <c r="G6" s="5">
        <v>-1.6071</v>
      </c>
      <c r="H6" s="5">
        <v>-1.3884000000000001</v>
      </c>
      <c r="I6" s="5">
        <v>-2.3252999999999999</v>
      </c>
      <c r="J6" s="5">
        <v>-2.0611999999999999</v>
      </c>
      <c r="K6" s="5">
        <v>-2.5213999999999999</v>
      </c>
    </row>
    <row r="7" spans="2:11" ht="37.5" customHeight="1" x14ac:dyDescent="0.25">
      <c r="B7" s="1">
        <v>3</v>
      </c>
      <c r="C7" s="5">
        <v>-1.7497</v>
      </c>
      <c r="D7" s="5">
        <v>-1.8947000000000001</v>
      </c>
      <c r="E7" s="5">
        <v>-2.1972999999999998</v>
      </c>
      <c r="F7" s="5">
        <v>-1.6327</v>
      </c>
      <c r="G7" s="5">
        <v>-1.6456999999999999</v>
      </c>
      <c r="H7" s="5">
        <v>-1.3837999999999999</v>
      </c>
      <c r="I7" s="5">
        <v>-2.3441999999999998</v>
      </c>
      <c r="J7" s="5">
        <v>-2.0815999999999999</v>
      </c>
      <c r="K7" s="5">
        <v>-2.5358000000000001</v>
      </c>
    </row>
    <row r="8" spans="2:11" ht="37.5" customHeight="1" x14ac:dyDescent="0.25">
      <c r="B8" s="1">
        <v>4</v>
      </c>
      <c r="C8" s="5">
        <v>-1.6426000000000001</v>
      </c>
      <c r="D8" s="5">
        <v>-1.8440000000000001</v>
      </c>
      <c r="E8" s="5">
        <v>-2.1648999999999998</v>
      </c>
      <c r="F8" s="5">
        <v>-1.5787</v>
      </c>
      <c r="G8" s="5">
        <v>-1.5758000000000001</v>
      </c>
      <c r="H8" s="5">
        <v>-1.3023</v>
      </c>
      <c r="I8" s="5">
        <v>-2.3128000000000002</v>
      </c>
      <c r="J8" s="5">
        <v>-2.0617999999999999</v>
      </c>
      <c r="K8" s="5">
        <v>-2.5114000000000001</v>
      </c>
    </row>
    <row r="9" spans="2:11" ht="37.5" customHeight="1" x14ac:dyDescent="0.25">
      <c r="B9" s="1">
        <v>5</v>
      </c>
      <c r="C9" s="5">
        <v>-1.8956999999999999</v>
      </c>
      <c r="D9" s="5">
        <v>-1.9691000000000001</v>
      </c>
      <c r="E9" s="5">
        <v>-2.2526000000000002</v>
      </c>
      <c r="F9" s="5">
        <v>-1.7123999999999999</v>
      </c>
      <c r="G9" s="5">
        <v>-1.7354000000000001</v>
      </c>
      <c r="H9" s="5">
        <v>-1.4755</v>
      </c>
      <c r="I9" s="5">
        <v>-2.3973</v>
      </c>
      <c r="J9" s="5">
        <v>-2.1541999999999999</v>
      </c>
      <c r="K9" s="5">
        <v>-2.5758999999999999</v>
      </c>
    </row>
    <row r="10" spans="2:11" ht="37.5" customHeight="1" x14ac:dyDescent="0.25">
      <c r="B10" s="1">
        <v>6</v>
      </c>
      <c r="C10" s="5">
        <v>-1.9406000000000001</v>
      </c>
      <c r="D10" s="5">
        <v>-1.9898</v>
      </c>
      <c r="E10" s="5">
        <v>-2.2658</v>
      </c>
      <c r="F10" s="5">
        <v>-1.7425999999999999</v>
      </c>
      <c r="G10" s="5">
        <v>-1.7618</v>
      </c>
      <c r="H10" s="5">
        <v>-1.5085</v>
      </c>
      <c r="I10" s="5">
        <v>-2.411</v>
      </c>
      <c r="J10" s="5">
        <v>-2.1812999999999998</v>
      </c>
      <c r="K10" s="5">
        <v>-2.5880999999999998</v>
      </c>
    </row>
    <row r="11" spans="2:11" ht="37.5" customHeight="1" x14ac:dyDescent="0.25">
      <c r="B11" s="1">
        <v>7</v>
      </c>
      <c r="C11" s="5">
        <v>-1.9470000000000001</v>
      </c>
      <c r="D11" s="5">
        <v>-1.9974000000000001</v>
      </c>
      <c r="E11" s="5">
        <v>-2.2738999999999998</v>
      </c>
      <c r="F11" s="5">
        <v>-1.7519</v>
      </c>
      <c r="G11" s="5">
        <v>-1.7703</v>
      </c>
      <c r="H11" s="5">
        <v>-1.5154000000000001</v>
      </c>
      <c r="I11" s="5">
        <v>-2.4186000000000001</v>
      </c>
      <c r="J11" s="5">
        <v>-2.1837</v>
      </c>
      <c r="K11" s="5">
        <v>-2.5939999999999999</v>
      </c>
    </row>
    <row r="12" spans="2:11" ht="37.5" customHeight="1" x14ac:dyDescent="0.25">
      <c r="B12" s="1">
        <v>8</v>
      </c>
      <c r="C12" s="5">
        <v>-1.8006</v>
      </c>
      <c r="D12" s="5">
        <v>-1.9426000000000001</v>
      </c>
      <c r="E12" s="5">
        <v>-2.2244000000000002</v>
      </c>
      <c r="F12" s="5">
        <v>-1.6896</v>
      </c>
      <c r="G12" s="5">
        <v>-1.714</v>
      </c>
      <c r="H12" s="5">
        <v>-1.4644999999999999</v>
      </c>
      <c r="I12" s="5">
        <v>-2.3805999999999998</v>
      </c>
      <c r="J12" s="5">
        <v>-2.1356999999999999</v>
      </c>
      <c r="K12" s="5">
        <v>-2.5684</v>
      </c>
    </row>
    <row r="15" spans="2:11" x14ac:dyDescent="0.25">
      <c r="C15" s="6">
        <f t="shared" ref="C15:K15" si="0">-MIN(C5:C12)+MAX(C5:C12)</f>
        <v>0.3044</v>
      </c>
      <c r="D15" s="6">
        <f t="shared" si="0"/>
        <v>0.15339999999999998</v>
      </c>
      <c r="E15" s="6">
        <f t="shared" si="0"/>
        <v>0.10899999999999999</v>
      </c>
      <c r="F15" s="6">
        <f t="shared" si="0"/>
        <v>0.17320000000000002</v>
      </c>
      <c r="G15" s="6">
        <f t="shared" si="0"/>
        <v>0.1944999999999999</v>
      </c>
      <c r="H15" s="6">
        <f t="shared" si="0"/>
        <v>0.21310000000000007</v>
      </c>
      <c r="I15" s="6">
        <f t="shared" si="0"/>
        <v>0.10579999999999989</v>
      </c>
      <c r="J15" s="6">
        <f t="shared" si="0"/>
        <v>0.12250000000000005</v>
      </c>
      <c r="K15" s="6">
        <f t="shared" si="0"/>
        <v>8.2599999999999785E-2</v>
      </c>
    </row>
  </sheetData>
  <mergeCells count="1">
    <mergeCell ref="B2:K2"/>
  </mergeCells>
  <conditionalFormatting sqref="C5:K12">
    <cfRule type="colorScale" priority="3">
      <colorScale>
        <cfvo type="min"/>
        <cfvo type="max"/>
        <color rgb="FF63BE7B"/>
        <color rgb="FFFFEF9C"/>
      </colorScale>
    </cfRule>
  </conditionalFormatting>
  <conditionalFormatting sqref="C15:K15">
    <cfRule type="colorScale" priority="2">
      <colorScale>
        <cfvo type="min"/>
        <cfvo type="max"/>
        <color rgb="FFFCFCFF"/>
        <color rgb="FFF8696B"/>
      </colorScale>
    </cfRule>
  </conditionalFormatting>
  <pageMargins left="0.75" right="0.75" top="1" bottom="1" header="0.5" footer="0.5"/>
  <pageSetup paperSize="9" orientation="portrait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12"/>
  <sheetViews>
    <sheetView workbookViewId="0">
      <selection activeCell="M5" sqref="M5:M12"/>
    </sheetView>
  </sheetViews>
  <sheetFormatPr defaultRowHeight="15" x14ac:dyDescent="0.25"/>
  <cols>
    <col min="2" max="11" width="12.85546875" customWidth="1"/>
  </cols>
  <sheetData>
    <row r="2" spans="2:13" ht="21" customHeight="1" x14ac:dyDescent="0.35">
      <c r="B2" s="23" t="s">
        <v>22</v>
      </c>
      <c r="C2" s="19"/>
      <c r="D2" s="19"/>
      <c r="E2" s="19"/>
      <c r="F2" s="19"/>
      <c r="G2" s="19"/>
      <c r="H2" s="19"/>
      <c r="I2" s="19"/>
      <c r="J2" s="19"/>
      <c r="K2" s="20"/>
    </row>
    <row r="3" spans="2:13" x14ac:dyDescent="0.25">
      <c r="B3" s="8"/>
      <c r="C3" s="8"/>
      <c r="D3" s="8"/>
      <c r="E3" s="8"/>
      <c r="F3" s="8"/>
      <c r="G3" s="8"/>
      <c r="H3" s="8"/>
      <c r="I3" s="8"/>
      <c r="J3" s="8"/>
      <c r="K3" s="8"/>
    </row>
    <row r="4" spans="2:13" ht="30" customHeight="1" x14ac:dyDescent="0.25">
      <c r="B4" s="2"/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</row>
    <row r="5" spans="2:13" ht="37.5" customHeight="1" x14ac:dyDescent="0.25">
      <c r="B5" s="1">
        <v>1</v>
      </c>
      <c r="C5" s="5">
        <v>4.1203000000000003</v>
      </c>
      <c r="D5" s="5">
        <v>3.9866999999999999</v>
      </c>
      <c r="E5" s="5">
        <v>3.7486999999999999</v>
      </c>
      <c r="F5" s="5">
        <v>4.2163000000000004</v>
      </c>
      <c r="G5" s="5">
        <v>4.0892999999999997</v>
      </c>
      <c r="H5" s="5">
        <v>4.3651</v>
      </c>
      <c r="I5" s="5">
        <v>3.4432</v>
      </c>
      <c r="J5" s="5">
        <v>3.7244999999999999</v>
      </c>
      <c r="K5" s="5">
        <v>3.2292000000000001</v>
      </c>
      <c r="M5" s="6">
        <f t="shared" ref="M5:M12" si="0">AVERAGE(C5:K5)</f>
        <v>3.8803666666666663</v>
      </c>
    </row>
    <row r="6" spans="2:13" ht="37.5" customHeight="1" x14ac:dyDescent="0.25">
      <c r="B6" s="1">
        <v>2</v>
      </c>
      <c r="C6" s="5">
        <v>4.2185999999999986</v>
      </c>
      <c r="D6" s="5">
        <v>3.9666999999999999</v>
      </c>
      <c r="E6" s="5">
        <v>3.724600000000001</v>
      </c>
      <c r="F6" s="5">
        <v>4.2138999999999998</v>
      </c>
      <c r="G6" s="5">
        <v>4.0618999999999996</v>
      </c>
      <c r="H6" s="5">
        <v>4.2789000000000001</v>
      </c>
      <c r="I6" s="5">
        <v>3.3675000000000002</v>
      </c>
      <c r="J6" s="5">
        <v>3.6959</v>
      </c>
      <c r="K6" s="5">
        <v>3.1248999999999998</v>
      </c>
      <c r="M6" s="6">
        <f t="shared" si="0"/>
        <v>3.8503222222222218</v>
      </c>
    </row>
    <row r="7" spans="2:13" ht="37.5" customHeight="1" x14ac:dyDescent="0.25">
      <c r="B7" s="1">
        <v>3</v>
      </c>
      <c r="C7" s="5">
        <v>3.8090000000000002</v>
      </c>
      <c r="D7" s="5">
        <v>3.585599999999999</v>
      </c>
      <c r="E7" s="5">
        <v>3.3294999999999999</v>
      </c>
      <c r="F7" s="5">
        <v>3.8296000000000001</v>
      </c>
      <c r="G7" s="5">
        <v>3.6934</v>
      </c>
      <c r="H7" s="5">
        <v>3.9752999999999998</v>
      </c>
      <c r="I7" s="5">
        <v>3.0110999999999999</v>
      </c>
      <c r="J7" s="5">
        <v>3.3184</v>
      </c>
      <c r="K7" s="5">
        <v>2.7778999999999998</v>
      </c>
      <c r="M7" s="6">
        <f t="shared" si="0"/>
        <v>3.4810888888888889</v>
      </c>
    </row>
    <row r="8" spans="2:13" ht="37.5" customHeight="1" x14ac:dyDescent="0.25">
      <c r="B8" s="1">
        <v>4</v>
      </c>
      <c r="C8" s="5">
        <v>3.9670999999999998</v>
      </c>
      <c r="D8" s="5">
        <v>3.6514000000000002</v>
      </c>
      <c r="E8" s="5">
        <v>3.4047999999999998</v>
      </c>
      <c r="F8" s="5">
        <v>3.9070999999999998</v>
      </c>
      <c r="G8" s="5">
        <v>3.7578</v>
      </c>
      <c r="H8" s="5">
        <v>4.0396000000000001</v>
      </c>
      <c r="I8" s="5">
        <v>3.0398000000000001</v>
      </c>
      <c r="J8" s="5">
        <v>3.4272999999999998</v>
      </c>
      <c r="K8" s="5">
        <v>2.7955999999999999</v>
      </c>
      <c r="M8" s="6">
        <f t="shared" si="0"/>
        <v>3.5544999999999995</v>
      </c>
    </row>
    <row r="9" spans="2:13" ht="37.5" customHeight="1" x14ac:dyDescent="0.25">
      <c r="B9" s="1">
        <v>5</v>
      </c>
      <c r="C9" s="5">
        <v>3.819500000000001</v>
      </c>
      <c r="D9" s="5">
        <v>3.7033999999999998</v>
      </c>
      <c r="E9" s="5">
        <v>3.4533999999999998</v>
      </c>
      <c r="F9" s="5">
        <v>3.944900000000001</v>
      </c>
      <c r="G9" s="5">
        <v>3.8180000000000001</v>
      </c>
      <c r="H9" s="5">
        <v>4.1000999999999994</v>
      </c>
      <c r="I9" s="5">
        <v>3.1627000000000001</v>
      </c>
      <c r="J9" s="5">
        <v>3.444</v>
      </c>
      <c r="K9" s="5">
        <v>2.9504999999999999</v>
      </c>
      <c r="M9" s="6">
        <f t="shared" si="0"/>
        <v>3.5996111111111113</v>
      </c>
    </row>
    <row r="10" spans="2:13" ht="37.5" customHeight="1" x14ac:dyDescent="0.25">
      <c r="B10" s="1">
        <v>6</v>
      </c>
      <c r="C10" s="5">
        <v>3.6255999999999999</v>
      </c>
      <c r="D10" s="5">
        <v>3.5436999999999999</v>
      </c>
      <c r="E10" s="5">
        <v>3.3022999999999998</v>
      </c>
      <c r="F10" s="5">
        <v>3.7732000000000001</v>
      </c>
      <c r="G10" s="5">
        <v>3.6511999999999998</v>
      </c>
      <c r="H10" s="5">
        <v>3.9321999999999999</v>
      </c>
      <c r="I10" s="5">
        <v>3.0110000000000001</v>
      </c>
      <c r="J10" s="5">
        <v>3.275500000000001</v>
      </c>
      <c r="K10" s="5">
        <v>2.8026</v>
      </c>
      <c r="M10" s="6">
        <f t="shared" si="0"/>
        <v>3.4352555555555551</v>
      </c>
    </row>
    <row r="11" spans="2:13" ht="37.5" customHeight="1" x14ac:dyDescent="0.25">
      <c r="B11" s="1">
        <v>7</v>
      </c>
      <c r="C11" s="5">
        <v>3.4167000000000001</v>
      </c>
      <c r="D11" s="5">
        <v>3.3363999999999998</v>
      </c>
      <c r="E11" s="5">
        <v>3.079600000000001</v>
      </c>
      <c r="F11" s="5">
        <v>3.5404</v>
      </c>
      <c r="G11" s="5">
        <v>3.4390000000000001</v>
      </c>
      <c r="H11" s="5">
        <v>3.7105999999999999</v>
      </c>
      <c r="I11" s="5">
        <v>2.7736999999999998</v>
      </c>
      <c r="J11" s="5">
        <v>3.0426000000000002</v>
      </c>
      <c r="K11" s="5">
        <v>2.5764</v>
      </c>
      <c r="M11" s="6">
        <f t="shared" si="0"/>
        <v>3.212822222222222</v>
      </c>
    </row>
    <row r="12" spans="2:13" ht="37.5" customHeight="1" x14ac:dyDescent="0.25">
      <c r="B12" s="1">
        <v>8</v>
      </c>
      <c r="C12" s="5">
        <v>4.3681000000000001</v>
      </c>
      <c r="D12" s="5">
        <v>4.1388999999999996</v>
      </c>
      <c r="E12" s="5">
        <v>3.8693</v>
      </c>
      <c r="F12" s="5">
        <v>4.3521000000000001</v>
      </c>
      <c r="G12" s="5">
        <v>4.2430000000000003</v>
      </c>
      <c r="H12" s="5">
        <v>4.5057999999999998</v>
      </c>
      <c r="I12" s="5">
        <v>3.5889000000000002</v>
      </c>
      <c r="J12" s="5">
        <v>3.8866000000000001</v>
      </c>
      <c r="K12" s="5">
        <v>3.4102000000000001</v>
      </c>
      <c r="M12" s="6">
        <f t="shared" si="0"/>
        <v>4.0403222222222226</v>
      </c>
    </row>
  </sheetData>
  <mergeCells count="1">
    <mergeCell ref="B2:K2"/>
  </mergeCells>
  <conditionalFormatting sqref="C5:K12">
    <cfRule type="colorScale" priority="4">
      <colorScale>
        <cfvo type="min"/>
        <cfvo type="max"/>
        <color rgb="FF63BE7B"/>
        <color rgb="FFFFEF9C"/>
      </colorScale>
    </cfRule>
  </conditionalFormatting>
  <conditionalFormatting sqref="C14:K14">
    <cfRule type="colorScale" priority="3">
      <colorScale>
        <cfvo type="min"/>
        <cfvo type="max"/>
        <color rgb="FFFCFCFF"/>
        <color rgb="FFF8696B"/>
      </colorScale>
    </cfRule>
  </conditionalFormatting>
  <conditionalFormatting sqref="M5:M12">
    <cfRule type="colorScale" priority="2">
      <colorScale>
        <cfvo type="min"/>
        <cfvo type="max"/>
        <color rgb="FFFCFCFF"/>
        <color rgb="FFF8696B"/>
      </colorScale>
    </cfRule>
  </conditionalFormatting>
  <conditionalFormatting sqref="O5:W11">
    <cfRule type="colorScale" priority="1">
      <colorScale>
        <cfvo type="min"/>
        <cfvo type="max"/>
        <color rgb="FF63BE7B"/>
        <color rgb="FFFFEF9C"/>
      </colorScale>
    </cfRule>
  </conditionalFormatting>
  <pageMargins left="0.75" right="0.75" top="1" bottom="1" header="0.5" footer="0.5"/>
  <pageSetup paperSize="9" orientation="portrait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2"/>
  <sheetViews>
    <sheetView workbookViewId="0">
      <selection activeCell="N11" sqref="N11"/>
    </sheetView>
  </sheetViews>
  <sheetFormatPr defaultRowHeight="15" x14ac:dyDescent="0.25"/>
  <cols>
    <col min="2" max="11" width="12.85546875" customWidth="1"/>
  </cols>
  <sheetData>
    <row r="2" spans="2:11" ht="21" customHeight="1" x14ac:dyDescent="0.35">
      <c r="B2" s="24" t="s">
        <v>23</v>
      </c>
      <c r="C2" s="19"/>
      <c r="D2" s="19"/>
      <c r="E2" s="19"/>
      <c r="F2" s="19"/>
      <c r="G2" s="19"/>
      <c r="H2" s="19"/>
      <c r="I2" s="19"/>
      <c r="J2" s="19"/>
      <c r="K2" s="20"/>
    </row>
    <row r="3" spans="2:11" x14ac:dyDescent="0.25">
      <c r="B3" s="8"/>
      <c r="C3" s="8"/>
      <c r="D3" s="8"/>
      <c r="E3" s="8"/>
      <c r="F3" s="8"/>
      <c r="G3" s="8"/>
      <c r="H3" s="8"/>
      <c r="I3" s="8"/>
      <c r="J3" s="8"/>
      <c r="K3" s="8"/>
    </row>
    <row r="4" spans="2:11" ht="30" customHeight="1" x14ac:dyDescent="0.25">
      <c r="B4" s="2"/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</row>
    <row r="5" spans="2:11" ht="37.5" customHeight="1" x14ac:dyDescent="0.25">
      <c r="B5" s="1">
        <v>1</v>
      </c>
      <c r="C5" s="5">
        <v>3.572448649</v>
      </c>
      <c r="D5" s="5">
        <v>3.5703805825999999</v>
      </c>
      <c r="E5" s="5">
        <v>3.3828124023999999</v>
      </c>
      <c r="F5" s="5">
        <v>3.7191453064000002</v>
      </c>
      <c r="G5" s="5">
        <v>3.6231706986000001</v>
      </c>
      <c r="H5" s="5">
        <v>3.8375421078</v>
      </c>
      <c r="I5" s="5">
        <v>3.0751331026000002</v>
      </c>
      <c r="J5" s="5">
        <v>3.3001713806000001</v>
      </c>
      <c r="K5" s="5">
        <v>2.8918099008000002</v>
      </c>
    </row>
    <row r="6" spans="2:11" ht="37.5" customHeight="1" x14ac:dyDescent="0.25">
      <c r="B6" s="1">
        <v>2</v>
      </c>
      <c r="C6" s="5">
        <v>3.551278179800001</v>
      </c>
      <c r="D6" s="5">
        <v>3.4752495282</v>
      </c>
      <c r="E6" s="5">
        <v>3.3052054896</v>
      </c>
      <c r="F6" s="5">
        <v>3.5809658172000001</v>
      </c>
      <c r="G6" s="5">
        <v>3.5061344671999999</v>
      </c>
      <c r="H6" s="5">
        <v>3.6091024048000002</v>
      </c>
      <c r="I6" s="5">
        <v>2.9362733284</v>
      </c>
      <c r="J6" s="5">
        <v>3.1966047922</v>
      </c>
      <c r="K6" s="5">
        <v>2.7409226877999999</v>
      </c>
    </row>
    <row r="7" spans="2:11" ht="37.5" customHeight="1" x14ac:dyDescent="0.25">
      <c r="B7" s="1">
        <v>3</v>
      </c>
      <c r="C7" s="5">
        <v>3.2312993271999999</v>
      </c>
      <c r="D7" s="5">
        <v>3.1453929374</v>
      </c>
      <c r="E7" s="5">
        <v>2.9447088624000002</v>
      </c>
      <c r="F7" s="5">
        <v>3.3423762620000002</v>
      </c>
      <c r="G7" s="5">
        <v>3.1991898752000001</v>
      </c>
      <c r="H7" s="5">
        <v>3.4378338531999999</v>
      </c>
      <c r="I7" s="5">
        <v>2.6319954536000001</v>
      </c>
      <c r="J7" s="5">
        <v>2.8641631184</v>
      </c>
      <c r="K7" s="5">
        <v>2.4294882148000001</v>
      </c>
    </row>
    <row r="8" spans="2:11" ht="37.5" customHeight="1" x14ac:dyDescent="0.25">
      <c r="B8" s="1">
        <v>4</v>
      </c>
      <c r="C8" s="5">
        <v>3.3349203383999999</v>
      </c>
      <c r="D8" s="5">
        <v>3.1732301995999999</v>
      </c>
      <c r="E8" s="5">
        <v>2.99461457</v>
      </c>
      <c r="F8" s="5">
        <v>3.3806627017999999</v>
      </c>
      <c r="G8" s="5">
        <v>3.2154895038000002</v>
      </c>
      <c r="H8" s="5">
        <v>3.4831136227999999</v>
      </c>
      <c r="I8" s="5">
        <v>2.630389981</v>
      </c>
      <c r="J8" s="5">
        <v>2.9523824772</v>
      </c>
      <c r="K8" s="5">
        <v>2.4228214218000002</v>
      </c>
    </row>
    <row r="9" spans="2:11" ht="37.5" customHeight="1" x14ac:dyDescent="0.25">
      <c r="B9" s="1">
        <v>5</v>
      </c>
      <c r="C9" s="5">
        <v>3.2240883062000001</v>
      </c>
      <c r="D9" s="5">
        <v>3.3153009189999998</v>
      </c>
      <c r="E9" s="5">
        <v>3.0899905269999999</v>
      </c>
      <c r="F9" s="5">
        <v>3.3776694477999998</v>
      </c>
      <c r="G9" s="5">
        <v>3.3933976370000001</v>
      </c>
      <c r="H9" s="5">
        <v>3.5064065811999998</v>
      </c>
      <c r="I9" s="5">
        <v>2.8048150550000002</v>
      </c>
      <c r="J9" s="5">
        <v>3.0510510136</v>
      </c>
      <c r="K9" s="5">
        <v>2.6169475493999999</v>
      </c>
    </row>
    <row r="10" spans="2:11" ht="37.5" customHeight="1" x14ac:dyDescent="0.25">
      <c r="B10" s="1">
        <v>6</v>
      </c>
      <c r="C10" s="5">
        <v>3.0498809233999999</v>
      </c>
      <c r="D10" s="5">
        <v>3.1618286229999999</v>
      </c>
      <c r="E10" s="5">
        <v>2.9430217555999998</v>
      </c>
      <c r="F10" s="5">
        <v>3.1994619892</v>
      </c>
      <c r="G10" s="5">
        <v>3.235027289</v>
      </c>
      <c r="H10" s="5">
        <v>3.3184030186000002</v>
      </c>
      <c r="I10" s="5">
        <v>2.6570571529999998</v>
      </c>
      <c r="J10" s="5">
        <v>2.9048713728000002</v>
      </c>
      <c r="K10" s="5">
        <v>2.4715570391999999</v>
      </c>
    </row>
    <row r="11" spans="2:11" ht="37.5" customHeight="1" x14ac:dyDescent="0.25">
      <c r="B11" s="1">
        <v>7</v>
      </c>
      <c r="C11" s="5">
        <v>2.8223936194000001</v>
      </c>
      <c r="D11" s="5">
        <v>2.9470490427999998</v>
      </c>
      <c r="E11" s="5">
        <v>2.7191263563999999</v>
      </c>
      <c r="F11" s="5">
        <v>2.9619881013999998</v>
      </c>
      <c r="G11" s="5">
        <v>3.0184517564000002</v>
      </c>
      <c r="H11" s="5">
        <v>3.1022900797999999</v>
      </c>
      <c r="I11" s="5">
        <v>2.4166444340000002</v>
      </c>
      <c r="J11" s="5">
        <v>2.6580639748000001</v>
      </c>
      <c r="K11" s="5">
        <v>2.2444506947999998</v>
      </c>
    </row>
    <row r="12" spans="2:11" ht="37.5" customHeight="1" x14ac:dyDescent="0.25">
      <c r="B12" s="1">
        <v>8</v>
      </c>
      <c r="C12" s="5">
        <v>3.7356082034</v>
      </c>
      <c r="D12" s="5">
        <v>3.6619197321999999</v>
      </c>
      <c r="E12" s="5">
        <v>3.4385141382</v>
      </c>
      <c r="F12" s="5">
        <v>3.8082354299999999</v>
      </c>
      <c r="G12" s="5">
        <v>3.7126962045999998</v>
      </c>
      <c r="H12" s="5">
        <v>3.9170266072</v>
      </c>
      <c r="I12" s="5">
        <v>3.1694478149999998</v>
      </c>
      <c r="J12" s="5">
        <v>3.4101326479999998</v>
      </c>
      <c r="K12" s="5">
        <v>3.0362480120000002</v>
      </c>
    </row>
  </sheetData>
  <mergeCells count="1">
    <mergeCell ref="B2:K2"/>
  </mergeCells>
  <conditionalFormatting sqref="C5:K12">
    <cfRule type="colorScale" priority="1">
      <colorScale>
        <cfvo type="min"/>
        <cfvo type="max"/>
        <color rgb="FF63BE7B"/>
        <color rgb="FFFFEF9C"/>
      </colorScale>
    </cfRule>
  </conditionalFormatting>
  <pageMargins left="0.75" right="0.75" top="1" bottom="1" header="0.5" footer="0.5"/>
  <pageSetup paperSize="9" orientation="portrait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7"/>
  <sheetViews>
    <sheetView workbookViewId="0">
      <selection activeCell="N13" sqref="N13"/>
    </sheetView>
  </sheetViews>
  <sheetFormatPr defaultRowHeight="15" x14ac:dyDescent="0.25"/>
  <cols>
    <col min="2" max="11" width="12.85546875" customWidth="1"/>
  </cols>
  <sheetData>
    <row r="2" spans="2:11" ht="21" customHeight="1" x14ac:dyDescent="0.35">
      <c r="B2" s="25" t="s">
        <v>24</v>
      </c>
      <c r="C2" s="19"/>
      <c r="D2" s="19"/>
      <c r="E2" s="19"/>
      <c r="F2" s="19"/>
      <c r="G2" s="19"/>
      <c r="H2" s="19"/>
      <c r="I2" s="19"/>
      <c r="J2" s="19"/>
      <c r="K2" s="20"/>
    </row>
    <row r="3" spans="2:11" x14ac:dyDescent="0.25">
      <c r="B3" s="8"/>
      <c r="C3" s="8"/>
      <c r="D3" s="8"/>
      <c r="E3" s="8"/>
      <c r="F3" s="8"/>
      <c r="G3" s="8"/>
      <c r="H3" s="8"/>
      <c r="I3" s="8"/>
      <c r="J3" s="8"/>
      <c r="K3" s="8"/>
    </row>
    <row r="4" spans="2:11" ht="30" customHeight="1" x14ac:dyDescent="0.25">
      <c r="B4" s="2"/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</row>
    <row r="5" spans="2:11" ht="37.5" customHeight="1" x14ac:dyDescent="0.25">
      <c r="B5" s="1">
        <v>1</v>
      </c>
      <c r="C5" s="5">
        <v>3.1798697811999999</v>
      </c>
      <c r="D5" s="5">
        <v>3.1195148960000001</v>
      </c>
      <c r="E5" s="5">
        <v>3.1550529844000001</v>
      </c>
      <c r="F5" s="5">
        <v>3.1879515669999998</v>
      </c>
      <c r="G5" s="5">
        <v>3.1093378324000009</v>
      </c>
      <c r="H5" s="5">
        <v>3.1603592074</v>
      </c>
      <c r="I5" s="5">
        <v>3.0597314502000001</v>
      </c>
      <c r="J5" s="5">
        <v>3.0564660822</v>
      </c>
      <c r="K5" s="5">
        <v>2.5737902689999999</v>
      </c>
    </row>
    <row r="6" spans="2:11" ht="37.5" customHeight="1" x14ac:dyDescent="0.25">
      <c r="B6" s="1">
        <v>2</v>
      </c>
      <c r="C6" s="5">
        <v>2.9383413948000001</v>
      </c>
      <c r="D6" s="5">
        <v>2.9191301464000001</v>
      </c>
      <c r="E6" s="5">
        <v>2.9224771486000001</v>
      </c>
      <c r="F6" s="5">
        <v>2.9305045116000001</v>
      </c>
      <c r="G6" s="5">
        <v>2.9167083318000002</v>
      </c>
      <c r="H6" s="5">
        <v>2.9275112576</v>
      </c>
      <c r="I6" s="5">
        <v>2.9055244463999998</v>
      </c>
      <c r="J6" s="5">
        <v>2.8726530752000001</v>
      </c>
      <c r="K6" s="5">
        <v>2.5743889198000001</v>
      </c>
    </row>
    <row r="7" spans="2:11" ht="37.5" customHeight="1" x14ac:dyDescent="0.25">
      <c r="B7" s="1">
        <v>3</v>
      </c>
      <c r="C7" s="5">
        <v>2.8873744426000001</v>
      </c>
      <c r="D7" s="5">
        <v>2.9334977655999999</v>
      </c>
      <c r="E7" s="5">
        <v>2.8892248178000002</v>
      </c>
      <c r="F7" s="5">
        <v>2.9520559404000002</v>
      </c>
      <c r="G7" s="5">
        <v>2.9452803018</v>
      </c>
      <c r="H7" s="5">
        <v>2.9945329358000001</v>
      </c>
      <c r="I7" s="5">
        <v>2.6274239384000002</v>
      </c>
      <c r="J7" s="5">
        <v>2.7708552277999998</v>
      </c>
      <c r="K7" s="5">
        <v>2.4287807184000001</v>
      </c>
    </row>
    <row r="8" spans="2:11" ht="37.5" customHeight="1" x14ac:dyDescent="0.25">
      <c r="B8" s="1">
        <v>4</v>
      </c>
      <c r="C8" s="5">
        <v>2.9043271447999999</v>
      </c>
      <c r="D8" s="5">
        <v>2.9137967119999999</v>
      </c>
      <c r="E8" s="5">
        <v>2.8857961813999999</v>
      </c>
      <c r="F8" s="5">
        <v>2.9421509908000001</v>
      </c>
      <c r="G8" s="5">
        <v>2.9082727978</v>
      </c>
      <c r="H8" s="5">
        <v>2.9695528705999998</v>
      </c>
      <c r="I8" s="5">
        <v>2.6208659910000001</v>
      </c>
      <c r="J8" s="5">
        <v>2.7992095066</v>
      </c>
      <c r="K8" s="5">
        <v>2.4213247947999998</v>
      </c>
    </row>
    <row r="9" spans="2:11" ht="37.5" customHeight="1" x14ac:dyDescent="0.25">
      <c r="B9" s="1">
        <v>5</v>
      </c>
      <c r="C9" s="5">
        <v>3.1869447451999999</v>
      </c>
      <c r="D9" s="5">
        <v>3.1406037310000001</v>
      </c>
      <c r="E9" s="5">
        <v>3.089446299</v>
      </c>
      <c r="F9" s="5">
        <v>3.2276529996000001</v>
      </c>
      <c r="G9" s="5">
        <v>3.1271612994</v>
      </c>
      <c r="H9" s="5">
        <v>3.1786452681999999</v>
      </c>
      <c r="I9" s="5">
        <v>2.8047606321999998</v>
      </c>
      <c r="J9" s="5">
        <v>3.0505884198</v>
      </c>
      <c r="K9" s="5">
        <v>2.5740079601999999</v>
      </c>
    </row>
    <row r="10" spans="2:11" ht="37.5" customHeight="1" x14ac:dyDescent="0.25">
      <c r="B10" s="1">
        <v>6</v>
      </c>
      <c r="C10" s="5">
        <v>2.9555117881999999</v>
      </c>
      <c r="D10" s="5">
        <v>3.0160027303999999</v>
      </c>
      <c r="E10" s="5">
        <v>2.9411441690000002</v>
      </c>
      <c r="F10" s="5">
        <v>3.011213524</v>
      </c>
      <c r="G10" s="5">
        <v>3.0228872145999999</v>
      </c>
      <c r="H10" s="5">
        <v>3.0294995847999999</v>
      </c>
      <c r="I10" s="5">
        <v>2.6570299415999998</v>
      </c>
      <c r="J10" s="5">
        <v>2.9043271447999999</v>
      </c>
      <c r="K10" s="5">
        <v>2.4715298278</v>
      </c>
    </row>
    <row r="11" spans="2:11" ht="37.5" customHeight="1" x14ac:dyDescent="0.25">
      <c r="B11" s="1">
        <v>7</v>
      </c>
      <c r="C11" s="5">
        <v>2.7630455559999998</v>
      </c>
      <c r="D11" s="5">
        <v>2.8914833639999999</v>
      </c>
      <c r="E11" s="5">
        <v>2.7179562661999999</v>
      </c>
      <c r="F11" s="5">
        <v>2.8549928765999999</v>
      </c>
      <c r="G11" s="5">
        <v>2.9259329963999998</v>
      </c>
      <c r="H11" s="5">
        <v>2.9227492626</v>
      </c>
      <c r="I11" s="5">
        <v>2.4165900111999998</v>
      </c>
      <c r="J11" s="5">
        <v>2.6577646493999998</v>
      </c>
      <c r="K11" s="5">
        <v>2.2444234833999999</v>
      </c>
    </row>
    <row r="12" spans="2:11" ht="37.5" customHeight="1" x14ac:dyDescent="0.25">
      <c r="B12" s="1">
        <v>8</v>
      </c>
      <c r="C12" s="5">
        <v>3.1244945822000001</v>
      </c>
      <c r="D12" s="5">
        <v>3.0741807036000002</v>
      </c>
      <c r="E12" s="5">
        <v>3.086861216</v>
      </c>
      <c r="F12" s="5">
        <v>3.1179094234</v>
      </c>
      <c r="G12" s="5">
        <v>3.0720037915999998</v>
      </c>
      <c r="H12" s="5">
        <v>3.1110249392</v>
      </c>
      <c r="I12" s="5">
        <v>3.1204945064</v>
      </c>
      <c r="J12" s="5">
        <v>3.0272682500000001</v>
      </c>
      <c r="K12" s="5">
        <v>2.5738446918000002</v>
      </c>
    </row>
    <row r="17" spans="3:11" x14ac:dyDescent="0.25">
      <c r="C17" s="6"/>
      <c r="D17" s="6"/>
      <c r="E17" s="6"/>
      <c r="F17" s="6"/>
      <c r="G17" s="6"/>
      <c r="H17" s="6"/>
      <c r="I17" s="6"/>
      <c r="J17" s="6"/>
      <c r="K17" s="6"/>
    </row>
  </sheetData>
  <mergeCells count="1">
    <mergeCell ref="B2:K2"/>
  </mergeCells>
  <conditionalFormatting sqref="C5:K12">
    <cfRule type="colorScale" priority="1">
      <colorScale>
        <cfvo type="min"/>
        <cfvo type="max"/>
        <color rgb="FF63BE7B"/>
        <color rgb="FFFFEF9C"/>
      </colorScale>
    </cfRule>
  </conditionalFormatting>
  <pageMargins left="0.75" right="0.75" top="1" bottom="1" header="0.5" footer="0.5"/>
  <pageSetup paperSize="9" orientation="portrait" verticalDpi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W15"/>
  <sheetViews>
    <sheetView tabSelected="1" workbookViewId="0">
      <selection activeCell="C5" sqref="C5:K12"/>
    </sheetView>
  </sheetViews>
  <sheetFormatPr defaultRowHeight="15" x14ac:dyDescent="0.25"/>
  <cols>
    <col min="2" max="11" width="12.85546875" customWidth="1"/>
  </cols>
  <sheetData>
    <row r="2" spans="2:23" ht="21" customHeight="1" x14ac:dyDescent="0.35">
      <c r="B2" s="26" t="s">
        <v>25</v>
      </c>
      <c r="C2" s="19"/>
      <c r="D2" s="19"/>
      <c r="E2" s="19"/>
      <c r="F2" s="19"/>
      <c r="G2" s="19"/>
      <c r="H2" s="19"/>
      <c r="I2" s="19"/>
      <c r="J2" s="19"/>
      <c r="K2" s="20"/>
    </row>
    <row r="3" spans="2:23" x14ac:dyDescent="0.25">
      <c r="B3" s="8"/>
      <c r="C3" s="8"/>
      <c r="D3" s="8"/>
      <c r="E3" s="8"/>
      <c r="F3" s="8"/>
      <c r="G3" s="8"/>
      <c r="H3" s="8"/>
      <c r="I3" s="8"/>
      <c r="J3" s="8"/>
      <c r="K3" s="8"/>
    </row>
    <row r="4" spans="2:23" ht="30" customHeight="1" x14ac:dyDescent="0.25">
      <c r="B4" s="2"/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  <c r="M4" s="1" t="s">
        <v>1</v>
      </c>
      <c r="N4" s="1" t="s">
        <v>2</v>
      </c>
      <c r="O4" s="1" t="s">
        <v>3</v>
      </c>
      <c r="P4" s="1" t="s">
        <v>4</v>
      </c>
      <c r="Q4" s="1" t="s">
        <v>5</v>
      </c>
      <c r="R4" s="1" t="s">
        <v>6</v>
      </c>
      <c r="S4" s="1" t="s">
        <v>7</v>
      </c>
      <c r="T4" s="1" t="s">
        <v>8</v>
      </c>
      <c r="U4" s="1" t="s">
        <v>9</v>
      </c>
    </row>
    <row r="5" spans="2:23" ht="37.5" customHeight="1" x14ac:dyDescent="0.25">
      <c r="B5" s="1">
        <v>1</v>
      </c>
      <c r="C5" s="5">
        <v>0.39257886780000018</v>
      </c>
      <c r="D5" s="5">
        <v>0.45086568659999982</v>
      </c>
      <c r="E5" s="5">
        <v>0.2277594179999998</v>
      </c>
      <c r="F5" s="5">
        <v>0.53119373939999992</v>
      </c>
      <c r="G5" s="5">
        <v>0.51383286619999957</v>
      </c>
      <c r="H5" s="5">
        <v>0.67718290040000051</v>
      </c>
      <c r="I5" s="5">
        <v>1.5401652400000019E-2</v>
      </c>
      <c r="J5" s="5">
        <v>0.24370529839999969</v>
      </c>
      <c r="K5" s="5">
        <v>0.31801963179999992</v>
      </c>
      <c r="M5">
        <f t="shared" ref="M5:U12" si="0">IF(C5&lt;0.3,1,0)</f>
        <v>0</v>
      </c>
      <c r="N5">
        <f t="shared" si="0"/>
        <v>0</v>
      </c>
      <c r="O5">
        <f t="shared" si="0"/>
        <v>1</v>
      </c>
      <c r="P5">
        <f t="shared" si="0"/>
        <v>0</v>
      </c>
      <c r="Q5">
        <f t="shared" si="0"/>
        <v>0</v>
      </c>
      <c r="R5">
        <f t="shared" si="0"/>
        <v>0</v>
      </c>
      <c r="S5">
        <f t="shared" si="0"/>
        <v>1</v>
      </c>
      <c r="T5">
        <f t="shared" si="0"/>
        <v>1</v>
      </c>
      <c r="U5">
        <f t="shared" si="0"/>
        <v>0</v>
      </c>
      <c r="W5">
        <f t="shared" ref="W5:W12" si="1">AVERAGE(C5:K5)</f>
        <v>0.37450445122222215</v>
      </c>
    </row>
    <row r="6" spans="2:23" ht="37.5" customHeight="1" x14ac:dyDescent="0.25">
      <c r="B6" s="1">
        <v>2</v>
      </c>
      <c r="C6" s="5">
        <v>0.61293678500000048</v>
      </c>
      <c r="D6" s="5">
        <v>0.55611938179999987</v>
      </c>
      <c r="E6" s="5">
        <v>0.38272834100000003</v>
      </c>
      <c r="F6" s="5">
        <v>0.65046130559999993</v>
      </c>
      <c r="G6" s="5">
        <v>0.58942613539999966</v>
      </c>
      <c r="H6" s="5">
        <v>0.68159114720000025</v>
      </c>
      <c r="I6" s="5">
        <v>3.074888200000014E-2</v>
      </c>
      <c r="J6" s="5">
        <v>0.32395171699999992</v>
      </c>
      <c r="K6" s="5">
        <v>0.16653376799999989</v>
      </c>
      <c r="M6">
        <f t="shared" si="0"/>
        <v>0</v>
      </c>
      <c r="N6">
        <f t="shared" si="0"/>
        <v>0</v>
      </c>
      <c r="O6">
        <f t="shared" si="0"/>
        <v>0</v>
      </c>
      <c r="P6">
        <f t="shared" si="0"/>
        <v>0</v>
      </c>
      <c r="Q6">
        <f t="shared" si="0"/>
        <v>0</v>
      </c>
      <c r="R6">
        <f t="shared" si="0"/>
        <v>0</v>
      </c>
      <c r="S6">
        <f t="shared" si="0"/>
        <v>1</v>
      </c>
      <c r="T6">
        <f t="shared" si="0"/>
        <v>0</v>
      </c>
      <c r="U6">
        <f t="shared" si="0"/>
        <v>1</v>
      </c>
      <c r="W6">
        <f t="shared" si="1"/>
        <v>0.44383305144444446</v>
      </c>
    </row>
    <row r="7" spans="2:23" ht="37.5" customHeight="1" x14ac:dyDescent="0.25">
      <c r="B7" s="1">
        <v>3</v>
      </c>
      <c r="C7" s="5">
        <v>0.34392488460000031</v>
      </c>
      <c r="D7" s="5">
        <v>0.2118951718000002</v>
      </c>
      <c r="E7" s="5">
        <v>5.5484044600000448E-2</v>
      </c>
      <c r="F7" s="5">
        <v>0.39032032160000002</v>
      </c>
      <c r="G7" s="5">
        <v>0.25390957340000009</v>
      </c>
      <c r="H7" s="5">
        <v>0.44330091740000022</v>
      </c>
      <c r="I7" s="5">
        <v>4.571515199999876E-3</v>
      </c>
      <c r="J7" s="5">
        <v>9.3307890599999777E-2</v>
      </c>
      <c r="K7" s="5">
        <v>7.0749640000000724E-4</v>
      </c>
      <c r="M7">
        <f t="shared" si="0"/>
        <v>0</v>
      </c>
      <c r="N7">
        <f t="shared" si="0"/>
        <v>1</v>
      </c>
      <c r="O7">
        <f t="shared" si="0"/>
        <v>1</v>
      </c>
      <c r="P7">
        <f t="shared" si="0"/>
        <v>0</v>
      </c>
      <c r="Q7">
        <f t="shared" si="0"/>
        <v>1</v>
      </c>
      <c r="R7">
        <f t="shared" si="0"/>
        <v>0</v>
      </c>
      <c r="S7">
        <f t="shared" si="0"/>
        <v>1</v>
      </c>
      <c r="T7">
        <f t="shared" si="0"/>
        <v>1</v>
      </c>
      <c r="U7">
        <f t="shared" si="0"/>
        <v>1</v>
      </c>
      <c r="W7">
        <f t="shared" si="1"/>
        <v>0.19971353506666678</v>
      </c>
    </row>
    <row r="8" spans="2:23" ht="37.5" customHeight="1" x14ac:dyDescent="0.25">
      <c r="B8" s="1">
        <v>4</v>
      </c>
      <c r="C8" s="5">
        <v>0.43059319359999998</v>
      </c>
      <c r="D8" s="5">
        <v>0.25943348760000001</v>
      </c>
      <c r="E8" s="5">
        <v>0.10881838859999959</v>
      </c>
      <c r="F8" s="5">
        <v>0.43851171099999992</v>
      </c>
      <c r="G8" s="5">
        <v>0.30721670599999967</v>
      </c>
      <c r="H8" s="5">
        <v>0.51356075220000008</v>
      </c>
      <c r="I8" s="5">
        <v>9.5239899999999267E-3</v>
      </c>
      <c r="J8" s="5">
        <v>0.15317297060000001</v>
      </c>
      <c r="K8" s="5">
        <v>1.496626999999862E-3</v>
      </c>
      <c r="M8">
        <f t="shared" si="0"/>
        <v>0</v>
      </c>
      <c r="N8">
        <f t="shared" si="0"/>
        <v>1</v>
      </c>
      <c r="O8">
        <f t="shared" si="0"/>
        <v>1</v>
      </c>
      <c r="P8">
        <f t="shared" si="0"/>
        <v>0</v>
      </c>
      <c r="Q8">
        <f t="shared" si="0"/>
        <v>0</v>
      </c>
      <c r="R8">
        <f t="shared" si="0"/>
        <v>0</v>
      </c>
      <c r="S8">
        <f t="shared" si="0"/>
        <v>1</v>
      </c>
      <c r="T8">
        <f t="shared" si="0"/>
        <v>1</v>
      </c>
      <c r="U8">
        <f t="shared" si="0"/>
        <v>1</v>
      </c>
      <c r="W8">
        <f t="shared" si="1"/>
        <v>0.24692531406666657</v>
      </c>
    </row>
    <row r="9" spans="2:23" ht="37.5" customHeight="1" x14ac:dyDescent="0.25">
      <c r="B9" s="1">
        <v>5</v>
      </c>
      <c r="C9" s="5">
        <v>3.7143561000000158E-2</v>
      </c>
      <c r="D9" s="5">
        <v>0.17469718800000009</v>
      </c>
      <c r="E9" s="5">
        <v>5.4422800000031302E-4</v>
      </c>
      <c r="F9" s="5">
        <v>0.15001644820000021</v>
      </c>
      <c r="G9" s="5">
        <v>0.26623633760000009</v>
      </c>
      <c r="H9" s="5">
        <v>0.32776131300000028</v>
      </c>
      <c r="I9" s="5">
        <v>5.4422799999898068E-5</v>
      </c>
      <c r="J9" s="5">
        <v>4.6259380000002182E-4</v>
      </c>
      <c r="K9" s="5">
        <v>4.2939589200000412E-2</v>
      </c>
      <c r="M9">
        <f t="shared" si="0"/>
        <v>1</v>
      </c>
      <c r="N9">
        <f t="shared" si="0"/>
        <v>1</v>
      </c>
      <c r="O9">
        <f t="shared" si="0"/>
        <v>1</v>
      </c>
      <c r="P9">
        <f t="shared" si="0"/>
        <v>1</v>
      </c>
      <c r="Q9">
        <f t="shared" si="0"/>
        <v>1</v>
      </c>
      <c r="R9">
        <f t="shared" si="0"/>
        <v>0</v>
      </c>
      <c r="S9">
        <f t="shared" si="0"/>
        <v>1</v>
      </c>
      <c r="T9">
        <f t="shared" si="0"/>
        <v>1</v>
      </c>
      <c r="U9">
        <f t="shared" si="0"/>
        <v>1</v>
      </c>
      <c r="W9">
        <f t="shared" si="1"/>
        <v>0.11109507573333349</v>
      </c>
    </row>
    <row r="10" spans="2:23" ht="37.5" customHeight="1" x14ac:dyDescent="0.25">
      <c r="B10" s="1">
        <v>6</v>
      </c>
      <c r="C10" s="5">
        <v>9.4369135199999565E-2</v>
      </c>
      <c r="D10" s="5">
        <v>0.14582589260000001</v>
      </c>
      <c r="E10" s="5">
        <v>1.8775866000000361E-3</v>
      </c>
      <c r="F10" s="5">
        <v>0.18824846519999999</v>
      </c>
      <c r="G10" s="5">
        <v>0.2121400744000006</v>
      </c>
      <c r="H10" s="5">
        <v>0.28890343380000028</v>
      </c>
      <c r="I10" s="5">
        <v>2.7211399999949041E-5</v>
      </c>
      <c r="J10" s="5">
        <v>5.4422800000031302E-4</v>
      </c>
      <c r="K10" s="5">
        <v>2.7211399999949041E-5</v>
      </c>
      <c r="M10">
        <f t="shared" si="0"/>
        <v>1</v>
      </c>
      <c r="N10">
        <f t="shared" si="0"/>
        <v>1</v>
      </c>
      <c r="O10">
        <f t="shared" si="0"/>
        <v>1</v>
      </c>
      <c r="P10">
        <f t="shared" si="0"/>
        <v>1</v>
      </c>
      <c r="Q10">
        <f t="shared" si="0"/>
        <v>1</v>
      </c>
      <c r="R10">
        <f t="shared" si="0"/>
        <v>1</v>
      </c>
      <c r="S10">
        <f t="shared" si="0"/>
        <v>1</v>
      </c>
      <c r="T10">
        <f t="shared" si="0"/>
        <v>1</v>
      </c>
      <c r="U10">
        <f t="shared" si="0"/>
        <v>1</v>
      </c>
      <c r="W10">
        <f t="shared" si="1"/>
        <v>0.10355147095555564</v>
      </c>
    </row>
    <row r="11" spans="2:23" ht="37.5" customHeight="1" x14ac:dyDescent="0.25">
      <c r="B11" s="1">
        <v>7</v>
      </c>
      <c r="C11" s="5">
        <v>5.9348063399999873E-2</v>
      </c>
      <c r="D11" s="5">
        <v>5.5565678799999851E-2</v>
      </c>
      <c r="E11" s="5">
        <v>1.1700902000000291E-3</v>
      </c>
      <c r="F11" s="5">
        <v>0.1069952248000003</v>
      </c>
      <c r="G11" s="5">
        <v>9.2518760000000366E-2</v>
      </c>
      <c r="H11" s="5">
        <v>0.17954081719999951</v>
      </c>
      <c r="I11" s="5">
        <v>5.4422800000342157E-5</v>
      </c>
      <c r="J11" s="5">
        <v>2.9932540000032759E-4</v>
      </c>
      <c r="K11" s="5">
        <v>2.721140000039313E-5</v>
      </c>
      <c r="M11">
        <f t="shared" si="0"/>
        <v>1</v>
      </c>
      <c r="N11">
        <f t="shared" si="0"/>
        <v>1</v>
      </c>
      <c r="O11">
        <f t="shared" si="0"/>
        <v>1</v>
      </c>
      <c r="P11">
        <f t="shared" si="0"/>
        <v>1</v>
      </c>
      <c r="Q11">
        <f t="shared" si="0"/>
        <v>1</v>
      </c>
      <c r="R11">
        <f t="shared" si="0"/>
        <v>1</v>
      </c>
      <c r="S11">
        <f t="shared" si="0"/>
        <v>1</v>
      </c>
      <c r="T11">
        <f t="shared" si="0"/>
        <v>1</v>
      </c>
      <c r="U11">
        <f t="shared" si="0"/>
        <v>1</v>
      </c>
      <c r="W11">
        <f t="shared" si="1"/>
        <v>5.5057732666666775E-2</v>
      </c>
    </row>
    <row r="12" spans="2:23" ht="37.5" customHeight="1" x14ac:dyDescent="0.25">
      <c r="B12" s="1">
        <v>8</v>
      </c>
      <c r="C12" s="5">
        <v>0.6111136211999999</v>
      </c>
      <c r="D12" s="5">
        <v>0.58773902859999971</v>
      </c>
      <c r="E12" s="5">
        <v>0.35165292220000038</v>
      </c>
      <c r="F12" s="5">
        <v>0.69032600659999988</v>
      </c>
      <c r="G12" s="5">
        <v>0.64069241300000046</v>
      </c>
      <c r="H12" s="5">
        <v>0.80600166799999995</v>
      </c>
      <c r="I12" s="5">
        <v>4.8953308599999801E-2</v>
      </c>
      <c r="J12" s="5">
        <v>0.38286439799999972</v>
      </c>
      <c r="K12" s="5">
        <v>0.46240332020000002</v>
      </c>
      <c r="M12">
        <f t="shared" si="0"/>
        <v>0</v>
      </c>
      <c r="N12">
        <f t="shared" si="0"/>
        <v>0</v>
      </c>
      <c r="O12">
        <f t="shared" si="0"/>
        <v>0</v>
      </c>
      <c r="P12">
        <f t="shared" si="0"/>
        <v>0</v>
      </c>
      <c r="Q12">
        <f t="shared" si="0"/>
        <v>0</v>
      </c>
      <c r="R12">
        <f t="shared" si="0"/>
        <v>0</v>
      </c>
      <c r="S12">
        <f t="shared" si="0"/>
        <v>1</v>
      </c>
      <c r="T12">
        <f t="shared" si="0"/>
        <v>0</v>
      </c>
      <c r="U12">
        <f t="shared" si="0"/>
        <v>0</v>
      </c>
      <c r="W12">
        <f t="shared" si="1"/>
        <v>0.50908296515555551</v>
      </c>
    </row>
    <row r="15" spans="2:23" x14ac:dyDescent="0.25">
      <c r="C15">
        <f t="shared" ref="C15:K15" si="2">AVERAGE(C5:C12)</f>
        <v>0.32275101397500006</v>
      </c>
      <c r="D15">
        <f t="shared" si="2"/>
        <v>0.30526768947499994</v>
      </c>
      <c r="E15">
        <f t="shared" si="2"/>
        <v>0.14125437740000008</v>
      </c>
      <c r="F15">
        <f t="shared" si="2"/>
        <v>0.39325915280000001</v>
      </c>
      <c r="G15">
        <f t="shared" si="2"/>
        <v>0.35949660825000007</v>
      </c>
      <c r="H15">
        <f t="shared" si="2"/>
        <v>0.48973036865000014</v>
      </c>
      <c r="I15">
        <f t="shared" si="2"/>
        <v>1.3666925649999995E-2</v>
      </c>
      <c r="J15">
        <f t="shared" si="2"/>
        <v>0.14978855272499997</v>
      </c>
      <c r="K15">
        <f t="shared" si="2"/>
        <v>0.12401935692500005</v>
      </c>
    </row>
  </sheetData>
  <mergeCells count="1">
    <mergeCell ref="B2:K2"/>
  </mergeCells>
  <conditionalFormatting sqref="C5:K12">
    <cfRule type="colorScale" priority="5">
      <colorScale>
        <cfvo type="min"/>
        <cfvo type="max"/>
        <color rgb="FF63BE7B"/>
        <color rgb="FFFFEF9C"/>
      </colorScale>
    </cfRule>
  </conditionalFormatting>
  <conditionalFormatting sqref="M5:U12 W5:W12">
    <cfRule type="colorScale" priority="4">
      <colorScale>
        <cfvo type="min"/>
        <cfvo type="max"/>
        <color rgb="FFF8696B"/>
        <color rgb="FFFCFCFF"/>
      </colorScale>
    </cfRule>
  </conditionalFormatting>
  <conditionalFormatting sqref="W5:W12">
    <cfRule type="colorScale" priority="3">
      <colorScale>
        <cfvo type="min"/>
        <cfvo type="max"/>
        <color rgb="FFFCFCFF"/>
        <color rgb="FFF8696B"/>
      </colorScale>
    </cfRule>
  </conditionalFormatting>
  <conditionalFormatting sqref="M5:U12">
    <cfRule type="colorScale" priority="2">
      <colorScale>
        <cfvo type="min"/>
        <cfvo type="max"/>
        <color rgb="FFFCFCFF"/>
        <color rgb="FF63BE7B"/>
      </colorScale>
    </cfRule>
  </conditionalFormatting>
  <conditionalFormatting sqref="C15:K15">
    <cfRule type="colorScale" priority="1">
      <colorScale>
        <cfvo type="min"/>
        <cfvo type="max"/>
        <color rgb="FFF8696B"/>
        <color rgb="FFFCFCFF"/>
      </colorScale>
    </cfRule>
  </conditionalFormatting>
  <pageMargins left="0.75" right="0.75" top="1" bottom="1" header="0.5" footer="0.5"/>
  <pageSetup paperSize="9" orientation="portrait" verticalDpi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2"/>
  <sheetViews>
    <sheetView workbookViewId="0">
      <selection activeCell="F15" sqref="F15"/>
    </sheetView>
  </sheetViews>
  <sheetFormatPr defaultRowHeight="15" x14ac:dyDescent="0.25"/>
  <cols>
    <col min="2" max="11" width="12.85546875" customWidth="1"/>
  </cols>
  <sheetData>
    <row r="2" spans="2:11" ht="21" customHeight="1" x14ac:dyDescent="0.35">
      <c r="B2" s="18" t="s">
        <v>26</v>
      </c>
      <c r="C2" s="19"/>
      <c r="D2" s="19"/>
      <c r="E2" s="19"/>
      <c r="F2" s="19"/>
      <c r="G2" s="19"/>
      <c r="H2" s="19"/>
      <c r="I2" s="19"/>
      <c r="J2" s="19"/>
      <c r="K2" s="20"/>
    </row>
    <row r="3" spans="2:11" x14ac:dyDescent="0.25">
      <c r="B3" s="8"/>
      <c r="C3" s="8"/>
      <c r="D3" s="8"/>
      <c r="E3" s="8"/>
      <c r="F3" s="8"/>
      <c r="G3" s="8"/>
      <c r="H3" s="8"/>
      <c r="I3" s="8"/>
      <c r="J3" s="8"/>
      <c r="K3" s="8"/>
    </row>
    <row r="4" spans="2:11" ht="30" customHeight="1" x14ac:dyDescent="0.25">
      <c r="B4" s="2"/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</row>
    <row r="5" spans="2:11" ht="37.5" customHeight="1" x14ac:dyDescent="0.25">
      <c r="B5" s="1">
        <v>1</v>
      </c>
      <c r="C5" s="5">
        <v>0.41437519920000021</v>
      </c>
      <c r="D5" s="5">
        <v>0.49619987899999968</v>
      </c>
      <c r="E5" s="5">
        <v>0.23037171239999979</v>
      </c>
      <c r="F5" s="5">
        <v>0.54371098340000046</v>
      </c>
      <c r="G5" s="5">
        <v>0.57595649239999958</v>
      </c>
      <c r="H5" s="5">
        <v>0.68439392140000033</v>
      </c>
      <c r="I5" s="5">
        <v>1.7524141599999599E-2</v>
      </c>
      <c r="J5" s="5">
        <v>0.30865891019999969</v>
      </c>
      <c r="K5" s="5">
        <v>0.31845501419999961</v>
      </c>
    </row>
    <row r="6" spans="2:11" ht="37.5" customHeight="1" x14ac:dyDescent="0.25">
      <c r="B6" s="1">
        <v>2</v>
      </c>
      <c r="C6" s="5">
        <v>0.62485537820000037</v>
      </c>
      <c r="D6" s="5">
        <v>0.62880103120000008</v>
      </c>
      <c r="E6" s="5">
        <v>0.38368074000000002</v>
      </c>
      <c r="F6" s="5">
        <v>0.65269264039999975</v>
      </c>
      <c r="G6" s="5">
        <v>0.66945486279999944</v>
      </c>
      <c r="H6" s="5">
        <v>0.68692458160000003</v>
      </c>
      <c r="I6" s="5">
        <v>3.2789737000000319E-2</v>
      </c>
      <c r="J6" s="5">
        <v>0.43018502259999991</v>
      </c>
      <c r="K6" s="5">
        <v>0.1670507846000002</v>
      </c>
    </row>
    <row r="7" spans="2:11" ht="37.5" customHeight="1" x14ac:dyDescent="0.25">
      <c r="B7" s="1">
        <v>3</v>
      </c>
      <c r="C7" s="5">
        <v>0.40378996460000011</v>
      </c>
      <c r="D7" s="5">
        <v>0.2777467598000003</v>
      </c>
      <c r="E7" s="5">
        <v>5.6953460200000361E-2</v>
      </c>
      <c r="F7" s="5">
        <v>0.41793989259999981</v>
      </c>
      <c r="G7" s="5">
        <v>0.34340786800000028</v>
      </c>
      <c r="H7" s="5">
        <v>0.45872978119999969</v>
      </c>
      <c r="I7" s="5">
        <v>6.1225650000000797E-3</v>
      </c>
      <c r="J7" s="5">
        <v>0.18155446079999971</v>
      </c>
      <c r="K7" s="5">
        <v>9.5239899999999267E-4</v>
      </c>
    </row>
    <row r="8" spans="2:11" ht="37.5" customHeight="1" x14ac:dyDescent="0.25">
      <c r="B8" s="1">
        <v>4</v>
      </c>
      <c r="C8" s="5">
        <v>0.55813302540000009</v>
      </c>
      <c r="D8" s="5">
        <v>0.34055067100000042</v>
      </c>
      <c r="E8" s="5">
        <v>0.11355317219999959</v>
      </c>
      <c r="F8" s="5">
        <v>0.52664943560000044</v>
      </c>
      <c r="G8" s="5">
        <v>0.42637542660000038</v>
      </c>
      <c r="H8" s="5">
        <v>0.58806556539999955</v>
      </c>
      <c r="I8" s="5">
        <v>1.687106799999993E-2</v>
      </c>
      <c r="J8" s="5">
        <v>0.25249458060000007</v>
      </c>
      <c r="K8" s="5">
        <v>1.2245129999999721E-2</v>
      </c>
    </row>
    <row r="9" spans="2:11" ht="37.5" customHeight="1" x14ac:dyDescent="0.25">
      <c r="B9" s="1">
        <v>5</v>
      </c>
      <c r="C9" s="5">
        <v>5.1320700400000252E-2</v>
      </c>
      <c r="D9" s="5">
        <v>0.17486045640000031</v>
      </c>
      <c r="E9" s="5">
        <v>4.1905556000001454E-3</v>
      </c>
      <c r="F9" s="5">
        <v>0.15238384000000019</v>
      </c>
      <c r="G9" s="5">
        <v>0.26800507860000028</v>
      </c>
      <c r="H9" s="5">
        <v>0.3292035172000003</v>
      </c>
      <c r="I9" s="5">
        <v>1.5510497999997601E-3</v>
      </c>
      <c r="J9" s="5">
        <v>5.115743200000189E-3</v>
      </c>
      <c r="K9" s="5">
        <v>4.3402182999999983E-2</v>
      </c>
    </row>
    <row r="10" spans="2:11" ht="37.5" customHeight="1" x14ac:dyDescent="0.25">
      <c r="B10" s="1">
        <v>6</v>
      </c>
      <c r="C10" s="5">
        <v>0.1201383309999997</v>
      </c>
      <c r="D10" s="5">
        <v>0.14658781179999991</v>
      </c>
      <c r="E10" s="5">
        <v>6.0409307999997894E-3</v>
      </c>
      <c r="F10" s="5">
        <v>0.19706495880000041</v>
      </c>
      <c r="G10" s="5">
        <v>0.21619457300000011</v>
      </c>
      <c r="H10" s="5">
        <v>0.28925718200000011</v>
      </c>
      <c r="I10" s="5">
        <v>5.2245888000004292E-3</v>
      </c>
      <c r="J10" s="5">
        <v>4.7347836000004584E-3</v>
      </c>
      <c r="K10" s="5">
        <v>3.8912301999993741E-3</v>
      </c>
    </row>
    <row r="11" spans="2:11" ht="37.5" customHeight="1" x14ac:dyDescent="0.25">
      <c r="B11" s="1">
        <v>7</v>
      </c>
      <c r="C11" s="5">
        <v>6.7266580799999698E-2</v>
      </c>
      <c r="D11" s="5">
        <v>6.3647464600000259E-2</v>
      </c>
      <c r="E11" s="5">
        <v>1.697991359999973E-2</v>
      </c>
      <c r="F11" s="5">
        <v>0.1146144168000003</v>
      </c>
      <c r="G11" s="5">
        <v>9.6382778800000235E-2</v>
      </c>
      <c r="H11" s="5">
        <v>0.1853368453999997</v>
      </c>
      <c r="I11" s="5">
        <v>2.1333737600000461E-2</v>
      </c>
      <c r="J11" s="5">
        <v>1.175532480000019E-2</v>
      </c>
      <c r="K11" s="5">
        <v>6.0409308000002326E-3</v>
      </c>
    </row>
    <row r="12" spans="2:11" ht="37.5" customHeight="1" x14ac:dyDescent="0.25">
      <c r="B12" s="1">
        <v>8</v>
      </c>
      <c r="C12" s="5">
        <v>0.67544137079999977</v>
      </c>
      <c r="D12" s="5">
        <v>0.63870598080000018</v>
      </c>
      <c r="E12" s="5">
        <v>0.37067369080000029</v>
      </c>
      <c r="F12" s="5">
        <v>0.71489790080000049</v>
      </c>
      <c r="G12" s="5">
        <v>0.69658462860000059</v>
      </c>
      <c r="H12" s="5">
        <v>0.81590661760000005</v>
      </c>
      <c r="I12" s="5">
        <v>5.5075873599999881E-2</v>
      </c>
      <c r="J12" s="5">
        <v>0.45995429419999972</v>
      </c>
      <c r="K12" s="5">
        <v>0.48077101519999982</v>
      </c>
    </row>
  </sheetData>
  <mergeCells count="1">
    <mergeCell ref="B2:K2"/>
  </mergeCells>
  <conditionalFormatting sqref="C5:K12">
    <cfRule type="colorScale" priority="1">
      <colorScale>
        <cfvo type="min"/>
        <cfvo type="max"/>
        <color rgb="FF63BE7B"/>
        <color rgb="FFFFEF9C"/>
      </colorScale>
    </cfRule>
  </conditionalFormatting>
  <pageMargins left="0.75" right="0.75" top="1" bottom="1" header="0.5" footer="0.5"/>
  <pageSetup paperSize="9" orientation="portrait" verticalDpi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2"/>
  <sheetViews>
    <sheetView workbookViewId="0">
      <selection activeCell="O5" sqref="O5"/>
    </sheetView>
  </sheetViews>
  <sheetFormatPr defaultRowHeight="15" x14ac:dyDescent="0.25"/>
  <cols>
    <col min="2" max="11" width="12.85546875" customWidth="1"/>
  </cols>
  <sheetData>
    <row r="2" spans="2:11" ht="21" customHeight="1" x14ac:dyDescent="0.35">
      <c r="B2" s="18" t="s">
        <v>27</v>
      </c>
      <c r="C2" s="19"/>
      <c r="D2" s="19"/>
      <c r="E2" s="19"/>
      <c r="F2" s="19"/>
      <c r="G2" s="19"/>
      <c r="H2" s="19"/>
      <c r="I2" s="19"/>
      <c r="J2" s="19"/>
      <c r="K2" s="20"/>
    </row>
    <row r="3" spans="2:11" x14ac:dyDescent="0.25">
      <c r="B3" s="8"/>
      <c r="C3" s="8"/>
      <c r="D3" s="8"/>
      <c r="E3" s="8"/>
      <c r="F3" s="8"/>
      <c r="G3" s="8"/>
      <c r="H3" s="8"/>
      <c r="I3" s="8"/>
      <c r="J3" s="8"/>
      <c r="K3" s="8"/>
    </row>
    <row r="4" spans="2:11" ht="30" customHeight="1" x14ac:dyDescent="0.25">
      <c r="B4" s="2"/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</row>
    <row r="5" spans="2:11" ht="37.5" customHeight="1" x14ac:dyDescent="0.25">
      <c r="B5" s="1">
        <v>1</v>
      </c>
      <c r="C5" s="4">
        <v>5.7445626465380289E-2</v>
      </c>
      <c r="D5" s="4">
        <v>7.3484692283495343E-2</v>
      </c>
      <c r="E5" s="4">
        <v>0.16431676725154981</v>
      </c>
      <c r="F5" s="4">
        <v>0.14730919862656239</v>
      </c>
      <c r="G5" s="4">
        <v>0.14899664425751341</v>
      </c>
      <c r="H5" s="4">
        <v>0.15588457268119901</v>
      </c>
      <c r="I5" s="4">
        <v>8.6023252670426265E-2</v>
      </c>
      <c r="J5" s="4">
        <v>0.12727922061357849</v>
      </c>
      <c r="K5" s="4">
        <v>0.4476605857119878</v>
      </c>
    </row>
    <row r="6" spans="2:11" ht="37.5" customHeight="1" x14ac:dyDescent="0.25">
      <c r="B6" s="1">
        <v>2</v>
      </c>
      <c r="C6" s="4">
        <v>6.4031242374328487E-2</v>
      </c>
      <c r="D6" s="4">
        <v>9.899494936611665E-2</v>
      </c>
      <c r="E6" s="4">
        <v>0.1774823934929885</v>
      </c>
      <c r="F6" s="4">
        <v>0.10049875621120891</v>
      </c>
      <c r="G6" s="4">
        <v>0.1135781669160055</v>
      </c>
      <c r="H6" s="4">
        <v>9.1104335791443003E-2</v>
      </c>
      <c r="I6" s="4">
        <v>0.2083266665599966</v>
      </c>
      <c r="J6" s="4">
        <v>0.15588457268119901</v>
      </c>
      <c r="K6" s="4">
        <v>0.81326502445389848</v>
      </c>
    </row>
    <row r="7" spans="2:11" ht="37.5" customHeight="1" x14ac:dyDescent="0.25">
      <c r="B7" s="1">
        <v>3</v>
      </c>
      <c r="C7" s="4">
        <v>9.6953597148326576E-2</v>
      </c>
      <c r="D7" s="4">
        <v>0.1367479433117734</v>
      </c>
      <c r="E7" s="4">
        <v>4.2426406871192847E-2</v>
      </c>
      <c r="F7" s="4">
        <v>0.43011626335213132</v>
      </c>
      <c r="G7" s="4">
        <v>3.1622776601683791E-2</v>
      </c>
      <c r="H7" s="4">
        <v>0.19748417658131501</v>
      </c>
      <c r="I7" s="4">
        <v>0.03</v>
      </c>
      <c r="J7" s="4">
        <v>0.05</v>
      </c>
      <c r="K7" s="4">
        <v>0.02</v>
      </c>
    </row>
    <row r="8" spans="2:11" ht="37.5" customHeight="1" x14ac:dyDescent="0.25">
      <c r="B8" s="1">
        <v>4</v>
      </c>
      <c r="C8" s="4">
        <v>0.36262928728937488</v>
      </c>
      <c r="D8" s="4">
        <v>8.7177978870813466E-2</v>
      </c>
      <c r="E8" s="4">
        <v>0.2004993765576342</v>
      </c>
      <c r="F8" s="4">
        <v>0.16792855623746669</v>
      </c>
      <c r="G8" s="4">
        <v>0.12688577540449519</v>
      </c>
      <c r="H8" s="4">
        <v>0.26400757564888172</v>
      </c>
      <c r="I8" s="4">
        <v>5.9160797830996162E-2</v>
      </c>
      <c r="J8" s="4">
        <v>0.10677078252031311</v>
      </c>
      <c r="K8" s="4">
        <v>4.123105625617661E-2</v>
      </c>
    </row>
    <row r="9" spans="2:11" ht="37.5" customHeight="1" x14ac:dyDescent="0.25">
      <c r="B9" s="1">
        <v>5</v>
      </c>
      <c r="C9" s="4">
        <v>4.2426406871192847E-2</v>
      </c>
      <c r="D9" s="4">
        <v>0.21840329667841549</v>
      </c>
      <c r="E9" s="4">
        <v>1.4142135623730951E-2</v>
      </c>
      <c r="F9" s="4">
        <v>0.38183766184073559</v>
      </c>
      <c r="G9" s="4">
        <v>0.21307275752662519</v>
      </c>
      <c r="H9" s="4">
        <v>0.2437211521390788</v>
      </c>
      <c r="I9" s="4">
        <v>0</v>
      </c>
      <c r="J9" s="4">
        <v>0.01</v>
      </c>
      <c r="K9" s="4">
        <v>2.2360679774997901E-2</v>
      </c>
    </row>
    <row r="10" spans="2:11" ht="37.5" customHeight="1" x14ac:dyDescent="0.25">
      <c r="B10" s="1">
        <v>6</v>
      </c>
      <c r="C10" s="4">
        <v>5.385164807134505E-2</v>
      </c>
      <c r="D10" s="4">
        <v>0.21213203435596431</v>
      </c>
      <c r="E10" s="4">
        <v>3.7416573867739417E-2</v>
      </c>
      <c r="F10" s="4">
        <v>4.123105625617661E-2</v>
      </c>
      <c r="G10" s="4">
        <v>0.24124676163629641</v>
      </c>
      <c r="H10" s="4">
        <v>4.123105625617661E-2</v>
      </c>
      <c r="I10" s="4">
        <v>0</v>
      </c>
      <c r="J10" s="4">
        <v>1.4142135623730951E-2</v>
      </c>
      <c r="K10" s="4">
        <v>0</v>
      </c>
    </row>
    <row r="11" spans="2:11" ht="37.5" customHeight="1" x14ac:dyDescent="0.25">
      <c r="B11" s="1">
        <v>7</v>
      </c>
      <c r="C11" s="4">
        <v>7.2801098892805186E-2</v>
      </c>
      <c r="D11" s="4">
        <v>0.216794833886788</v>
      </c>
      <c r="E11" s="4">
        <v>2.2360679774997901E-2</v>
      </c>
      <c r="F11" s="4">
        <v>8.2462112512353219E-2</v>
      </c>
      <c r="G11" s="4">
        <v>0.29120439557122069</v>
      </c>
      <c r="H11" s="4">
        <v>0.13190905958272919</v>
      </c>
      <c r="I11" s="4">
        <v>0</v>
      </c>
      <c r="J11" s="4">
        <v>0</v>
      </c>
      <c r="K11" s="4">
        <v>0</v>
      </c>
    </row>
    <row r="12" spans="2:11" ht="37.5" customHeight="1" x14ac:dyDescent="0.25">
      <c r="B12" s="1">
        <v>8</v>
      </c>
      <c r="C12" s="4">
        <v>0.92493242996448122</v>
      </c>
      <c r="D12" s="4">
        <v>1.089082182390291</v>
      </c>
      <c r="E12" s="4">
        <v>0.32155870381627061</v>
      </c>
      <c r="F12" s="4">
        <v>1.5417198189035519</v>
      </c>
      <c r="G12" s="4">
        <v>1.1636580253665589</v>
      </c>
      <c r="H12" s="4">
        <v>1.872404870747777</v>
      </c>
      <c r="I12" s="4">
        <v>0.29748949561287041</v>
      </c>
      <c r="J12" s="4">
        <v>1.0658799181896621</v>
      </c>
      <c r="K12" s="4">
        <v>0</v>
      </c>
    </row>
  </sheetData>
  <mergeCells count="1">
    <mergeCell ref="B2:K2"/>
  </mergeCells>
  <conditionalFormatting sqref="C5:K11">
    <cfRule type="colorScale" priority="2">
      <colorScale>
        <cfvo type="min"/>
        <cfvo type="max"/>
        <color rgb="FFFCFCFF"/>
        <color rgb="FFF8696B"/>
      </colorScale>
    </cfRule>
  </conditionalFormatting>
  <conditionalFormatting sqref="C5:K12">
    <cfRule type="colorScale" priority="1">
      <colorScale>
        <cfvo type="min"/>
        <cfvo type="max"/>
        <color rgb="FFFCFCFF"/>
        <color rgb="FFF8696B"/>
      </colorScale>
    </cfRule>
  </conditionalFormatting>
  <pageMargins left="0.75" right="0.75" top="1" bottom="1" header="0.5" footer="0.5"/>
  <pageSetup paperSize="9" orientation="portrait" verticalDpi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2"/>
  <sheetViews>
    <sheetView workbookViewId="0">
      <selection activeCell="I34" sqref="I34"/>
    </sheetView>
  </sheetViews>
  <sheetFormatPr defaultRowHeight="15" x14ac:dyDescent="0.25"/>
  <cols>
    <col min="2" max="11" width="12.85546875" customWidth="1"/>
  </cols>
  <sheetData>
    <row r="2" spans="2:11" ht="21" customHeight="1" x14ac:dyDescent="0.35">
      <c r="B2" s="18" t="s">
        <v>28</v>
      </c>
      <c r="C2" s="19"/>
      <c r="D2" s="19"/>
      <c r="E2" s="19"/>
      <c r="F2" s="19"/>
      <c r="G2" s="19"/>
      <c r="H2" s="19"/>
      <c r="I2" s="19"/>
      <c r="J2" s="19"/>
      <c r="K2" s="20"/>
    </row>
    <row r="3" spans="2:11" x14ac:dyDescent="0.25">
      <c r="B3" s="8"/>
      <c r="C3" s="8"/>
      <c r="D3" s="8"/>
      <c r="E3" s="8"/>
      <c r="F3" s="8"/>
      <c r="G3" s="8"/>
      <c r="H3" s="8"/>
      <c r="I3" s="8"/>
      <c r="J3" s="8"/>
      <c r="K3" s="8"/>
    </row>
    <row r="4" spans="2:11" ht="30" customHeight="1" x14ac:dyDescent="0.25">
      <c r="B4" s="2"/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</row>
    <row r="5" spans="2:11" ht="37.5" customHeight="1" x14ac:dyDescent="0.25">
      <c r="B5" s="1">
        <v>1</v>
      </c>
      <c r="C5" s="4">
        <v>0.63316664473106921</v>
      </c>
      <c r="D5" s="4">
        <v>0.43139309220245969</v>
      </c>
      <c r="E5" s="4">
        <v>0.16583123951777001</v>
      </c>
      <c r="F5" s="4">
        <v>0.53944415837044712</v>
      </c>
      <c r="G5" s="4">
        <v>0.5652433104425032</v>
      </c>
      <c r="H5" s="4">
        <v>0.45376205218153709</v>
      </c>
      <c r="I5" s="4">
        <v>0</v>
      </c>
      <c r="J5" s="4">
        <v>0.54525223520862343</v>
      </c>
      <c r="K5" s="4">
        <v>0</v>
      </c>
    </row>
    <row r="6" spans="2:11" ht="37.5" customHeight="1" x14ac:dyDescent="0.25">
      <c r="B6" s="1">
        <v>2</v>
      </c>
      <c r="C6" s="4">
        <v>0.15297058540778349</v>
      </c>
      <c r="D6" s="4">
        <v>0.232163735324878</v>
      </c>
      <c r="E6" s="4">
        <v>0.22494443758403981</v>
      </c>
      <c r="F6" s="4">
        <v>6.1644140029689758E-2</v>
      </c>
      <c r="G6" s="4">
        <v>0.1367479433117734</v>
      </c>
      <c r="H6" s="4">
        <v>0.12569805089976541</v>
      </c>
      <c r="I6" s="4">
        <v>0.01</v>
      </c>
      <c r="J6" s="4">
        <v>0.4330127018922193</v>
      </c>
      <c r="K6" s="4">
        <v>0.01</v>
      </c>
    </row>
    <row r="7" spans="2:11" ht="37.5" customHeight="1" x14ac:dyDescent="0.25">
      <c r="B7" s="1">
        <v>3</v>
      </c>
      <c r="C7" s="4">
        <v>0.53347914673396557</v>
      </c>
      <c r="D7" s="4">
        <v>0.54744862772683978</v>
      </c>
      <c r="E7" s="4">
        <v>0.28583211855912899</v>
      </c>
      <c r="F7" s="4">
        <v>0.35594943461115369</v>
      </c>
      <c r="G7" s="4">
        <v>0.7058328414008519</v>
      </c>
      <c r="H7" s="4">
        <v>0.45398237851264672</v>
      </c>
      <c r="I7" s="4">
        <v>0</v>
      </c>
      <c r="J7" s="4">
        <v>0.66558245169174945</v>
      </c>
      <c r="K7" s="4">
        <v>0</v>
      </c>
    </row>
    <row r="8" spans="2:11" ht="37.5" customHeight="1" x14ac:dyDescent="0.25">
      <c r="B8" s="1">
        <v>4</v>
      </c>
      <c r="C8" s="4">
        <v>0.67230945255886454</v>
      </c>
      <c r="D8" s="4">
        <v>0.5487257967327579</v>
      </c>
      <c r="E8" s="4">
        <v>0.2215851980616034</v>
      </c>
      <c r="F8" s="4">
        <v>0.59110066824526597</v>
      </c>
      <c r="G8" s="4">
        <v>0.744983221287567</v>
      </c>
      <c r="H8" s="4">
        <v>0.68454364360499331</v>
      </c>
      <c r="I8" s="4">
        <v>0</v>
      </c>
      <c r="J8" s="4">
        <v>0.63079315151640636</v>
      </c>
      <c r="K8" s="4">
        <v>0</v>
      </c>
    </row>
    <row r="9" spans="2:11" ht="37.5" customHeight="1" x14ac:dyDescent="0.25">
      <c r="B9" s="1">
        <v>5</v>
      </c>
      <c r="C9" s="4">
        <v>0</v>
      </c>
      <c r="D9" s="4">
        <v>0.1606237840420901</v>
      </c>
      <c r="E9" s="4">
        <v>0</v>
      </c>
      <c r="F9" s="4">
        <v>0.13964240043768941</v>
      </c>
      <c r="G9" s="4">
        <v>0.21610182784974311</v>
      </c>
      <c r="H9" s="4">
        <v>0.26419689627245813</v>
      </c>
      <c r="I9" s="4">
        <v>0</v>
      </c>
      <c r="J9" s="4">
        <v>0.01</v>
      </c>
      <c r="K9" s="4">
        <v>0</v>
      </c>
    </row>
    <row r="10" spans="2:11" ht="37.5" customHeight="1" x14ac:dyDescent="0.25">
      <c r="B10" s="1">
        <v>6</v>
      </c>
      <c r="C10" s="4">
        <v>0</v>
      </c>
      <c r="D10" s="4">
        <v>0.01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</row>
    <row r="11" spans="2:11" ht="37.5" customHeight="1" x14ac:dyDescent="0.25">
      <c r="B11" s="1">
        <v>7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</row>
    <row r="12" spans="2:11" ht="37.5" customHeight="1" x14ac:dyDescent="0.25">
      <c r="B12" s="1">
        <v>8</v>
      </c>
      <c r="C12" s="4">
        <v>1.1156164215356461</v>
      </c>
      <c r="D12" s="4">
        <v>0.92493242996448133</v>
      </c>
      <c r="E12" s="4">
        <v>0.1667333200053307</v>
      </c>
      <c r="F12" s="4">
        <v>2.0715453169071631</v>
      </c>
      <c r="G12" s="4">
        <v>1.259880946756478</v>
      </c>
      <c r="H12" s="4">
        <v>2.3482333785209679</v>
      </c>
      <c r="I12" s="4">
        <v>1.4142135623730951E-2</v>
      </c>
      <c r="J12" s="4">
        <v>0.93514704726048303</v>
      </c>
      <c r="K12" s="4">
        <v>0.8686195945291586</v>
      </c>
    </row>
  </sheetData>
  <mergeCells count="1">
    <mergeCell ref="B2:K2"/>
  </mergeCells>
  <conditionalFormatting sqref="C5:K12">
    <cfRule type="colorScale" priority="1">
      <colorScale>
        <cfvo type="min"/>
        <cfvo type="max"/>
        <color rgb="FFFCFCFF"/>
        <color rgb="FFF8696B"/>
      </colorScale>
    </cfRule>
  </conditionalFormatting>
  <pageMargins left="0.75" right="0.75" top="1" bottom="1" header="0.5" footer="0.5"/>
  <pageSetup paperSize="9" orientation="portrait" verticalDpi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V16"/>
  <sheetViews>
    <sheetView zoomScaleNormal="100" workbookViewId="0">
      <selection activeCell="M18" sqref="M18"/>
    </sheetView>
  </sheetViews>
  <sheetFormatPr defaultRowHeight="15" x14ac:dyDescent="0.25"/>
  <cols>
    <col min="2" max="11" width="12.85546875" customWidth="1"/>
  </cols>
  <sheetData>
    <row r="2" spans="2:22" ht="21" customHeight="1" x14ac:dyDescent="0.35">
      <c r="B2" s="18" t="s">
        <v>29</v>
      </c>
      <c r="C2" s="19"/>
      <c r="D2" s="19"/>
      <c r="E2" s="19"/>
      <c r="F2" s="19"/>
      <c r="G2" s="19"/>
      <c r="H2" s="19"/>
      <c r="I2" s="19"/>
      <c r="J2" s="19"/>
      <c r="K2" s="20"/>
    </row>
    <row r="3" spans="2:22" x14ac:dyDescent="0.25">
      <c r="B3" s="8"/>
      <c r="C3" s="8"/>
      <c r="D3" s="8"/>
      <c r="E3" s="8"/>
      <c r="F3" s="8"/>
      <c r="G3" s="8"/>
      <c r="H3" s="8"/>
      <c r="I3" s="8"/>
      <c r="J3" s="8"/>
      <c r="K3" s="8"/>
    </row>
    <row r="4" spans="2:22" ht="30" customHeight="1" x14ac:dyDescent="0.25">
      <c r="B4" s="2"/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  <c r="M4" s="17"/>
      <c r="N4" s="1" t="s">
        <v>1</v>
      </c>
      <c r="O4" s="1" t="s">
        <v>2</v>
      </c>
      <c r="P4" s="1" t="s">
        <v>3</v>
      </c>
      <c r="Q4" s="1" t="s">
        <v>4</v>
      </c>
      <c r="R4" s="1" t="s">
        <v>5</v>
      </c>
      <c r="S4" s="1" t="s">
        <v>6</v>
      </c>
      <c r="T4" s="1" t="s">
        <v>7</v>
      </c>
      <c r="U4" s="1" t="s">
        <v>8</v>
      </c>
      <c r="V4" s="1" t="s">
        <v>9</v>
      </c>
    </row>
    <row r="5" spans="2:22" ht="37.5" customHeight="1" x14ac:dyDescent="0.25">
      <c r="B5" s="1">
        <v>1</v>
      </c>
      <c r="C5" s="3">
        <v>4.3480200700264062E-11</v>
      </c>
      <c r="D5" s="3">
        <v>6.7736180652928524E-11</v>
      </c>
      <c r="E5" s="3">
        <v>3.9404451716791198E-10</v>
      </c>
      <c r="F5" s="3">
        <v>2.5155127585623731E-10</v>
      </c>
      <c r="G5" s="3">
        <v>2.620589429697503E-10</v>
      </c>
      <c r="H5" s="3">
        <v>2.3613437932278792E-10</v>
      </c>
      <c r="I5" s="3">
        <v>1.137205549168761E-10</v>
      </c>
      <c r="J5" s="3">
        <v>2.3465593781457342E-10</v>
      </c>
      <c r="K5" s="3">
        <v>2.784100890315066E-9</v>
      </c>
      <c r="M5" s="1">
        <v>1</v>
      </c>
      <c r="N5" s="17"/>
      <c r="O5" s="17"/>
      <c r="P5" s="17"/>
      <c r="Q5" s="17"/>
      <c r="R5" s="17"/>
      <c r="S5" s="17"/>
      <c r="T5" s="17"/>
      <c r="U5" s="17"/>
      <c r="V5" s="17"/>
    </row>
    <row r="6" spans="2:22" ht="37.5" customHeight="1" x14ac:dyDescent="0.25">
      <c r="B6" s="1">
        <v>2</v>
      </c>
      <c r="C6" s="3">
        <v>4.3284597181746698E-11</v>
      </c>
      <c r="D6" s="3">
        <v>1.105662618510534E-10</v>
      </c>
      <c r="E6" s="3">
        <v>4.1822013805561941E-10</v>
      </c>
      <c r="F6" s="3">
        <v>1.01690805499422E-10</v>
      </c>
      <c r="G6" s="3">
        <v>1.4009286433765221E-10</v>
      </c>
      <c r="H6" s="3">
        <v>8.0173288636100667E-11</v>
      </c>
      <c r="I6" s="3">
        <v>6.6648346092628612E-10</v>
      </c>
      <c r="J6" s="3">
        <v>3.3630988527602438E-10</v>
      </c>
      <c r="K6" s="3">
        <v>9.888489488884315E-9</v>
      </c>
      <c r="M6" s="1">
        <v>2</v>
      </c>
      <c r="N6" s="17"/>
      <c r="O6" s="17"/>
      <c r="P6" s="17"/>
      <c r="Q6" s="17"/>
      <c r="R6" s="17"/>
      <c r="S6" s="17"/>
      <c r="T6" s="17"/>
      <c r="U6" s="17"/>
      <c r="V6" s="17"/>
    </row>
    <row r="7" spans="2:22" ht="37.5" customHeight="1" x14ac:dyDescent="0.25">
      <c r="B7" s="1">
        <v>3</v>
      </c>
      <c r="C7" s="3">
        <v>1.2837128641075049E-10</v>
      </c>
      <c r="D7" s="3">
        <v>2.74822473187555E-10</v>
      </c>
      <c r="E7" s="3">
        <v>2.7583273677333189E-11</v>
      </c>
      <c r="F7" s="3">
        <v>2.441840283986711E-9</v>
      </c>
      <c r="G7" s="3">
        <v>1.4411569271886451E-11</v>
      </c>
      <c r="H7" s="3">
        <v>4.9252603388558203E-10</v>
      </c>
      <c r="I7" s="3">
        <v>1.3833870411262759E-11</v>
      </c>
      <c r="J7" s="3">
        <v>3.8095103109416918E-11</v>
      </c>
      <c r="K7" s="3">
        <v>6.1485122667543083E-12</v>
      </c>
      <c r="M7" s="1">
        <v>3</v>
      </c>
      <c r="N7" s="17"/>
      <c r="O7" s="17"/>
      <c r="P7" s="17"/>
      <c r="Q7" s="17"/>
      <c r="R7" s="17"/>
      <c r="S7" s="17"/>
      <c r="T7" s="17"/>
      <c r="U7" s="17"/>
      <c r="V7" s="17"/>
    </row>
    <row r="8" spans="2:22" ht="37.5" customHeight="1" x14ac:dyDescent="0.25">
      <c r="B8" s="1">
        <v>4</v>
      </c>
      <c r="C8" s="3">
        <v>1.679241916497334E-9</v>
      </c>
      <c r="D8" s="3">
        <v>1.0921778211540311E-10</v>
      </c>
      <c r="E8" s="3">
        <v>6.1065181207289523E-10</v>
      </c>
      <c r="F8" s="3">
        <v>3.5764140929295692E-10</v>
      </c>
      <c r="G8" s="3">
        <v>2.251886611082736E-10</v>
      </c>
      <c r="H8" s="3">
        <v>8.230006979237727E-10</v>
      </c>
      <c r="I8" s="3">
        <v>5.3794629525787003E-11</v>
      </c>
      <c r="J8" s="3">
        <v>1.711692398194459E-10</v>
      </c>
      <c r="K8" s="3">
        <v>2.6131131682711791E-11</v>
      </c>
      <c r="M8" s="1">
        <v>4</v>
      </c>
      <c r="N8" s="17"/>
      <c r="O8" s="17"/>
      <c r="P8" s="17"/>
      <c r="Q8" s="17"/>
      <c r="R8" s="17"/>
      <c r="S8" s="17"/>
      <c r="T8" s="17"/>
      <c r="U8" s="17"/>
      <c r="V8" s="17"/>
    </row>
    <row r="9" spans="2:22" ht="37.5" customHeight="1" x14ac:dyDescent="0.25">
      <c r="B9" s="1">
        <v>5</v>
      </c>
      <c r="C9" s="3">
        <v>2.7630172936090089E-11</v>
      </c>
      <c r="D9" s="3">
        <v>7.1117154071655355E-10</v>
      </c>
      <c r="E9" s="3">
        <v>3.0742567616538439E-12</v>
      </c>
      <c r="F9" s="3">
        <v>2.1912605744349888E-9</v>
      </c>
      <c r="G9" s="3">
        <v>6.5010357394283357E-10</v>
      </c>
      <c r="H9" s="3">
        <v>8.2005230532327708E-10</v>
      </c>
      <c r="I9" s="3">
        <v>0</v>
      </c>
      <c r="J9" s="3">
        <v>1.537128507165188E-12</v>
      </c>
      <c r="K9" s="3">
        <v>7.6714863819546458E-12</v>
      </c>
      <c r="M9" s="1">
        <v>5</v>
      </c>
      <c r="N9" s="17"/>
      <c r="O9" s="17"/>
      <c r="P9" s="17"/>
      <c r="Q9" s="17"/>
      <c r="R9" s="17"/>
      <c r="S9" s="17"/>
      <c r="T9" s="17"/>
      <c r="U9" s="17"/>
      <c r="V9" s="17"/>
    </row>
    <row r="10" spans="2:22" ht="37.5" customHeight="1" x14ac:dyDescent="0.25">
      <c r="B10" s="1">
        <v>6</v>
      </c>
      <c r="C10" s="3">
        <v>4.4181519043044412E-11</v>
      </c>
      <c r="D10" s="3">
        <v>6.7715396936393025E-10</v>
      </c>
      <c r="E10" s="3">
        <v>2.1519727841093129E-11</v>
      </c>
      <c r="F10" s="3">
        <v>2.5221382421992372E-11</v>
      </c>
      <c r="G10" s="3">
        <v>8.5524101722619274E-10</v>
      </c>
      <c r="H10" s="3">
        <v>2.4038685636148099E-11</v>
      </c>
      <c r="I10" s="3">
        <v>0</v>
      </c>
      <c r="J10" s="3">
        <v>3.0742567616538439E-12</v>
      </c>
      <c r="K10" s="3">
        <v>0</v>
      </c>
      <c r="M10" s="1">
        <v>6</v>
      </c>
      <c r="N10" s="17"/>
      <c r="O10" s="17"/>
      <c r="P10" s="17"/>
      <c r="Q10" s="17"/>
      <c r="R10" s="17"/>
      <c r="S10" s="17"/>
      <c r="T10" s="17"/>
      <c r="U10" s="17"/>
      <c r="V10" s="17"/>
    </row>
    <row r="11" spans="2:22" ht="37.5" customHeight="1" x14ac:dyDescent="0.25">
      <c r="B11" s="1">
        <v>7</v>
      </c>
      <c r="C11" s="3">
        <v>8.1181387674568611E-11</v>
      </c>
      <c r="D11" s="3">
        <v>7.2022339461442666E-10</v>
      </c>
      <c r="E11" s="3">
        <v>7.6856336580066296E-12</v>
      </c>
      <c r="F11" s="3">
        <v>1.033349869253619E-10</v>
      </c>
      <c r="G11" s="3">
        <v>1.292375399438991E-9</v>
      </c>
      <c r="H11" s="3">
        <v>2.5897633278459032E-10</v>
      </c>
      <c r="I11" s="3">
        <v>0</v>
      </c>
      <c r="J11" s="3">
        <v>0</v>
      </c>
      <c r="K11" s="3">
        <v>0</v>
      </c>
      <c r="M11" s="1">
        <v>7</v>
      </c>
      <c r="N11" s="17"/>
      <c r="O11" s="17"/>
      <c r="P11" s="17"/>
      <c r="Q11" s="17"/>
      <c r="R11" s="17"/>
      <c r="S11" s="17"/>
      <c r="T11" s="17"/>
      <c r="U11" s="17"/>
      <c r="V11" s="17"/>
    </row>
    <row r="12" spans="2:22" ht="37.5" customHeight="1" x14ac:dyDescent="0.25">
      <c r="B12" s="1">
        <v>8</v>
      </c>
      <c r="C12" s="3">
        <v>9.0518787555824178E-9</v>
      </c>
      <c r="D12" s="3">
        <v>1.290654859324672E-8</v>
      </c>
      <c r="E12" s="3">
        <v>1.404513925648219E-9</v>
      </c>
      <c r="F12" s="3">
        <v>2.2686011462478761E-8</v>
      </c>
      <c r="G12" s="3">
        <v>1.3806667616096451E-8</v>
      </c>
      <c r="H12" s="3">
        <v>2.814331790690353E-8</v>
      </c>
      <c r="I12" s="3">
        <v>1.3571029227054929E-9</v>
      </c>
      <c r="J12" s="3">
        <v>1.5082235200976451E-8</v>
      </c>
      <c r="K12" s="3">
        <v>0</v>
      </c>
      <c r="M12" s="1">
        <v>8</v>
      </c>
      <c r="N12" s="17"/>
      <c r="O12" s="17"/>
      <c r="P12" s="17"/>
      <c r="Q12" s="17"/>
      <c r="R12" s="17"/>
      <c r="S12" s="17"/>
      <c r="T12" s="17"/>
      <c r="U12" s="17"/>
      <c r="V12" s="17"/>
    </row>
    <row r="13" spans="2:22" x14ac:dyDescent="0.25">
      <c r="M13" s="8"/>
      <c r="N13" s="8"/>
      <c r="O13" s="8"/>
      <c r="P13" s="8"/>
      <c r="Q13" s="8"/>
      <c r="R13" s="8"/>
      <c r="S13" s="8"/>
      <c r="T13" s="8"/>
      <c r="U13" s="8"/>
      <c r="V13" s="8"/>
    </row>
    <row r="14" spans="2:22" x14ac:dyDescent="0.25">
      <c r="M14" s="8"/>
      <c r="N14" s="8"/>
      <c r="O14" s="8"/>
      <c r="P14" s="8"/>
      <c r="Q14" s="9" t="s">
        <v>30</v>
      </c>
      <c r="R14" s="10"/>
      <c r="S14" s="11"/>
      <c r="T14" s="8"/>
      <c r="U14" s="8"/>
      <c r="V14" s="8"/>
    </row>
    <row r="15" spans="2:22" x14ac:dyDescent="0.25">
      <c r="M15" s="8"/>
      <c r="N15" s="8"/>
      <c r="O15" s="8"/>
      <c r="P15" s="8"/>
      <c r="Q15" s="12" t="s">
        <v>31</v>
      </c>
      <c r="R15" s="8" t="s">
        <v>32</v>
      </c>
      <c r="S15" s="13">
        <v>1E-10</v>
      </c>
      <c r="T15" s="8"/>
      <c r="U15" s="8"/>
      <c r="V15" s="8"/>
    </row>
    <row r="16" spans="2:22" x14ac:dyDescent="0.25">
      <c r="M16" s="8"/>
      <c r="N16" s="8"/>
      <c r="O16" s="8"/>
      <c r="P16" s="8"/>
      <c r="Q16" s="14" t="s">
        <v>33</v>
      </c>
      <c r="R16" s="15" t="s">
        <v>34</v>
      </c>
      <c r="S16" s="16">
        <v>0.3</v>
      </c>
      <c r="T16" s="8"/>
      <c r="U16" s="8"/>
      <c r="V16" s="8"/>
    </row>
  </sheetData>
  <mergeCells count="1">
    <mergeCell ref="B2:K2"/>
  </mergeCells>
  <pageMargins left="0.75" right="0.75" top="1" bottom="1" header="0.5" footer="0.5"/>
  <pageSetup paperSize="9" orientation="portrait" verticalDpi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V16"/>
  <sheetViews>
    <sheetView workbookViewId="0">
      <selection activeCell="B14" sqref="B14"/>
    </sheetView>
  </sheetViews>
  <sheetFormatPr defaultRowHeight="15" x14ac:dyDescent="0.25"/>
  <cols>
    <col min="2" max="11" width="12.85546875" customWidth="1"/>
  </cols>
  <sheetData>
    <row r="2" spans="2:22" ht="21" customHeight="1" x14ac:dyDescent="0.35">
      <c r="B2" s="18" t="s">
        <v>35</v>
      </c>
      <c r="C2" s="19"/>
      <c r="D2" s="19"/>
      <c r="E2" s="19"/>
      <c r="F2" s="19"/>
      <c r="G2" s="19"/>
      <c r="H2" s="19"/>
      <c r="I2" s="19"/>
      <c r="J2" s="19"/>
      <c r="K2" s="20"/>
    </row>
    <row r="3" spans="2:22" x14ac:dyDescent="0.25">
      <c r="B3" s="8"/>
      <c r="C3" s="8"/>
      <c r="D3" s="8"/>
      <c r="E3" s="8"/>
      <c r="F3" s="8"/>
      <c r="G3" s="8"/>
      <c r="H3" s="8"/>
      <c r="I3" s="8"/>
      <c r="J3" s="8"/>
      <c r="K3" s="8"/>
    </row>
    <row r="4" spans="2:22" ht="30" customHeight="1" x14ac:dyDescent="0.25">
      <c r="B4" s="2"/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  <c r="M4" s="17"/>
      <c r="N4" s="1" t="s">
        <v>1</v>
      </c>
      <c r="O4" s="1" t="s">
        <v>2</v>
      </c>
      <c r="P4" s="1" t="s">
        <v>3</v>
      </c>
      <c r="Q4" s="1" t="s">
        <v>4</v>
      </c>
      <c r="R4" s="1" t="s">
        <v>5</v>
      </c>
      <c r="S4" s="1" t="s">
        <v>6</v>
      </c>
      <c r="T4" s="1" t="s">
        <v>7</v>
      </c>
      <c r="U4" s="1" t="s">
        <v>8</v>
      </c>
      <c r="V4" s="1" t="s">
        <v>9</v>
      </c>
    </row>
    <row r="5" spans="2:22" ht="37.5" customHeight="1" x14ac:dyDescent="0.25">
      <c r="B5" s="1">
        <v>1</v>
      </c>
      <c r="C5" s="3">
        <v>5.1900914221931506E-9</v>
      </c>
      <c r="D5" s="3">
        <v>2.2362848545539038E-9</v>
      </c>
      <c r="E5" s="3">
        <v>4.0086161016463938E-10</v>
      </c>
      <c r="F5" s="3">
        <v>3.3282536328672601E-9</v>
      </c>
      <c r="G5" s="3">
        <v>3.5246371360301038E-9</v>
      </c>
      <c r="H5" s="3">
        <v>1.9812771708375489E-9</v>
      </c>
      <c r="I5" s="3">
        <v>0</v>
      </c>
      <c r="J5" s="3">
        <v>4.154605613666505E-9</v>
      </c>
      <c r="K5" s="3">
        <v>0</v>
      </c>
      <c r="M5" s="1">
        <v>1</v>
      </c>
      <c r="N5" s="17"/>
      <c r="O5" s="17"/>
      <c r="P5" s="17"/>
      <c r="Q5" s="17"/>
      <c r="R5" s="17"/>
      <c r="S5" s="17"/>
      <c r="T5" s="17"/>
      <c r="U5" s="17"/>
      <c r="V5" s="17"/>
    </row>
    <row r="6" spans="2:22" ht="37.5" customHeight="1" x14ac:dyDescent="0.25">
      <c r="B6" s="1">
        <v>2</v>
      </c>
      <c r="C6" s="3">
        <v>2.4342117070362021E-10</v>
      </c>
      <c r="D6" s="3">
        <v>5.5793424682749907E-10</v>
      </c>
      <c r="E6" s="3">
        <v>6.7131739510956916E-10</v>
      </c>
      <c r="F6" s="3">
        <v>3.8148817494376023E-11</v>
      </c>
      <c r="G6" s="3">
        <v>1.8361755474009481E-10</v>
      </c>
      <c r="H6" s="3">
        <v>1.515091374544085E-10</v>
      </c>
      <c r="I6" s="3">
        <v>1.535477054257021E-12</v>
      </c>
      <c r="J6" s="3">
        <v>2.395197737040603E-9</v>
      </c>
      <c r="K6" s="3">
        <v>1.494826758468606E-12</v>
      </c>
      <c r="M6" s="1">
        <v>2</v>
      </c>
      <c r="N6" s="17"/>
      <c r="O6" s="17"/>
      <c r="P6" s="17"/>
      <c r="Q6" s="17"/>
      <c r="R6" s="17"/>
      <c r="S6" s="17"/>
      <c r="T6" s="17"/>
      <c r="U6" s="17"/>
      <c r="V6" s="17"/>
    </row>
    <row r="7" spans="2:22" ht="37.5" customHeight="1" x14ac:dyDescent="0.25">
      <c r="B7" s="1">
        <v>3</v>
      </c>
      <c r="C7" s="3">
        <v>3.7165077418983508E-9</v>
      </c>
      <c r="D7" s="3">
        <v>4.2647553194988219E-9</v>
      </c>
      <c r="E7" s="3">
        <v>1.251767313276311E-9</v>
      </c>
      <c r="F7" s="3">
        <v>1.635411462407012E-9</v>
      </c>
      <c r="G7" s="3">
        <v>6.8060963811114068E-9</v>
      </c>
      <c r="H7" s="3">
        <v>2.5668374421711841E-9</v>
      </c>
      <c r="I7" s="3">
        <v>0</v>
      </c>
      <c r="J7" s="3">
        <v>6.5886854093101561E-9</v>
      </c>
      <c r="K7" s="3">
        <v>0</v>
      </c>
      <c r="M7" s="1">
        <v>3</v>
      </c>
      <c r="N7" s="17"/>
      <c r="O7" s="17"/>
      <c r="P7" s="17"/>
      <c r="Q7" s="17"/>
      <c r="R7" s="17"/>
      <c r="S7" s="17"/>
      <c r="T7" s="17"/>
      <c r="U7" s="17"/>
      <c r="V7" s="17"/>
    </row>
    <row r="8" spans="2:22" ht="37.5" customHeight="1" x14ac:dyDescent="0.25">
      <c r="B8" s="1">
        <v>4</v>
      </c>
      <c r="C8" s="3">
        <v>5.0881576180199481E-9</v>
      </c>
      <c r="D8" s="3">
        <v>4.1214859842462679E-9</v>
      </c>
      <c r="E8" s="3">
        <v>7.4506099612270794E-10</v>
      </c>
      <c r="F8" s="3">
        <v>4.0698407374227369E-9</v>
      </c>
      <c r="G8" s="3">
        <v>7.1129581169233448E-9</v>
      </c>
      <c r="H8" s="3">
        <v>5.0971140907863934E-9</v>
      </c>
      <c r="I8" s="3">
        <v>0</v>
      </c>
      <c r="J8" s="3">
        <v>5.7384738911140242E-9</v>
      </c>
      <c r="K8" s="3">
        <v>0</v>
      </c>
      <c r="M8" s="1">
        <v>4</v>
      </c>
      <c r="N8" s="17"/>
      <c r="O8" s="17"/>
      <c r="P8" s="17"/>
      <c r="Q8" s="17"/>
      <c r="R8" s="17"/>
      <c r="S8" s="17"/>
      <c r="T8" s="17"/>
      <c r="U8" s="17"/>
      <c r="V8" s="17"/>
    </row>
    <row r="9" spans="2:22" ht="37.5" customHeight="1" x14ac:dyDescent="0.25">
      <c r="B9" s="1">
        <v>5</v>
      </c>
      <c r="C9" s="3">
        <v>0</v>
      </c>
      <c r="D9" s="3">
        <v>3.8463686825188901E-10</v>
      </c>
      <c r="E9" s="3">
        <v>0</v>
      </c>
      <c r="F9" s="3">
        <v>2.9286009631696399E-10</v>
      </c>
      <c r="G9" s="3">
        <v>6.6808727730745338E-10</v>
      </c>
      <c r="H9" s="3">
        <v>9.6271790097802042E-10</v>
      </c>
      <c r="I9" s="3">
        <v>0</v>
      </c>
      <c r="J9" s="3">
        <v>1.5370886086912611E-12</v>
      </c>
      <c r="K9" s="3">
        <v>0</v>
      </c>
      <c r="M9" s="1">
        <v>5</v>
      </c>
      <c r="N9" s="17"/>
      <c r="O9" s="17"/>
      <c r="P9" s="17"/>
      <c r="Q9" s="17"/>
      <c r="R9" s="17"/>
      <c r="S9" s="17"/>
      <c r="T9" s="17"/>
      <c r="U9" s="17"/>
      <c r="V9" s="17"/>
    </row>
    <row r="10" spans="2:22" ht="37.5" customHeight="1" x14ac:dyDescent="0.25">
      <c r="B10" s="1">
        <v>6</v>
      </c>
      <c r="C10" s="3">
        <v>0</v>
      </c>
      <c r="D10" s="3">
        <v>1.504451376074184E-12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M10" s="1">
        <v>6</v>
      </c>
      <c r="N10" s="17"/>
      <c r="O10" s="17"/>
      <c r="P10" s="17"/>
      <c r="Q10" s="17"/>
      <c r="R10" s="17"/>
      <c r="S10" s="17"/>
      <c r="T10" s="17"/>
      <c r="U10" s="17"/>
      <c r="V10" s="17"/>
    </row>
    <row r="11" spans="2:22" ht="37.5" customHeight="1" x14ac:dyDescent="0.25">
      <c r="B11" s="1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M11" s="1">
        <v>7</v>
      </c>
      <c r="N11" s="17"/>
      <c r="O11" s="17"/>
      <c r="P11" s="17"/>
      <c r="Q11" s="17"/>
      <c r="R11" s="17"/>
      <c r="S11" s="17"/>
      <c r="T11" s="17"/>
      <c r="U11" s="17"/>
      <c r="V11" s="17"/>
    </row>
    <row r="12" spans="2:22" ht="37.5" customHeight="1" x14ac:dyDescent="0.25">
      <c r="B12" s="1">
        <v>8</v>
      </c>
      <c r="C12" s="3">
        <v>1.212287937838473E-8</v>
      </c>
      <c r="D12" s="3">
        <v>8.7450415659962609E-9</v>
      </c>
      <c r="E12" s="3">
        <v>3.7246326398423859E-10</v>
      </c>
      <c r="F12" s="3">
        <v>3.9567658732446427E-8</v>
      </c>
      <c r="G12" s="3">
        <v>1.501884418927614E-8</v>
      </c>
      <c r="H12" s="3">
        <v>4.3559348943143008E-8</v>
      </c>
      <c r="I12" s="3">
        <v>3.0649464961700861E-12</v>
      </c>
      <c r="J12" s="3">
        <v>1.0879066518968111E-8</v>
      </c>
      <c r="K12" s="3">
        <v>9.2042064952592878E-9</v>
      </c>
      <c r="M12" s="1">
        <v>8</v>
      </c>
      <c r="N12" s="17"/>
      <c r="O12" s="17"/>
      <c r="P12" s="17"/>
      <c r="Q12" s="17"/>
      <c r="R12" s="17"/>
      <c r="S12" s="17"/>
      <c r="T12" s="17"/>
      <c r="U12" s="17"/>
      <c r="V12" s="17"/>
    </row>
    <row r="13" spans="2:22" x14ac:dyDescent="0.25">
      <c r="M13" s="8"/>
      <c r="N13" s="8"/>
      <c r="O13" s="8"/>
      <c r="P13" s="8"/>
      <c r="Q13" s="8"/>
      <c r="R13" s="8"/>
      <c r="S13" s="8"/>
      <c r="T13" s="8"/>
      <c r="U13" s="8"/>
      <c r="V13" s="8"/>
    </row>
    <row r="14" spans="2:22" x14ac:dyDescent="0.25">
      <c r="M14" s="8"/>
      <c r="N14" s="8"/>
      <c r="O14" s="8"/>
      <c r="P14" s="8"/>
      <c r="Q14" s="9" t="s">
        <v>30</v>
      </c>
      <c r="R14" s="10"/>
      <c r="S14" s="11"/>
      <c r="T14" s="8"/>
      <c r="U14" s="8"/>
      <c r="V14" s="8"/>
    </row>
    <row r="15" spans="2:22" x14ac:dyDescent="0.25">
      <c r="M15" s="8"/>
      <c r="N15" s="8"/>
      <c r="O15" s="8"/>
      <c r="P15" s="8"/>
      <c r="Q15" s="12" t="s">
        <v>31</v>
      </c>
      <c r="R15" s="8" t="s">
        <v>32</v>
      </c>
      <c r="S15" s="13">
        <v>1E-10</v>
      </c>
      <c r="T15" s="8"/>
      <c r="U15" s="8"/>
      <c r="V15" s="8"/>
    </row>
    <row r="16" spans="2:22" x14ac:dyDescent="0.25">
      <c r="M16" s="8"/>
      <c r="N16" s="8"/>
      <c r="O16" s="8"/>
      <c r="P16" s="8"/>
      <c r="Q16" s="14" t="s">
        <v>33</v>
      </c>
      <c r="R16" s="15" t="s">
        <v>34</v>
      </c>
      <c r="S16" s="16">
        <v>0.3</v>
      </c>
      <c r="T16" s="8"/>
      <c r="U16" s="8"/>
      <c r="V16" s="8"/>
    </row>
  </sheetData>
  <mergeCells count="1">
    <mergeCell ref="B2:K2"/>
  </mergeCells>
  <pageMargins left="0.75" right="0.75" top="1" bottom="1" header="0.5" footer="0.5"/>
  <pageSetup paperSize="9" orientation="portrait" verticalDpi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2"/>
  <sheetViews>
    <sheetView workbookViewId="0"/>
  </sheetViews>
  <sheetFormatPr defaultRowHeight="15" x14ac:dyDescent="0.25"/>
  <cols>
    <col min="2" max="11" width="12.85546875" customWidth="1"/>
  </cols>
  <sheetData>
    <row r="2" spans="2:11" ht="21" customHeight="1" x14ac:dyDescent="0.35">
      <c r="B2" s="18" t="s">
        <v>36</v>
      </c>
      <c r="C2" s="19"/>
      <c r="D2" s="19"/>
      <c r="E2" s="19"/>
      <c r="F2" s="19"/>
      <c r="G2" s="19"/>
      <c r="H2" s="19"/>
      <c r="I2" s="19"/>
      <c r="J2" s="19"/>
      <c r="K2" s="20"/>
    </row>
    <row r="3" spans="2:11" x14ac:dyDescent="0.25">
      <c r="B3" s="8"/>
      <c r="C3" s="8"/>
      <c r="D3" s="8"/>
      <c r="E3" s="8"/>
      <c r="F3" s="8"/>
      <c r="G3" s="8"/>
      <c r="H3" s="8"/>
      <c r="I3" s="8"/>
      <c r="J3" s="8"/>
      <c r="K3" s="8"/>
    </row>
    <row r="4" spans="2:11" ht="30" customHeight="1" x14ac:dyDescent="0.25">
      <c r="B4" s="2"/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</row>
    <row r="5" spans="2:11" ht="37.5" customHeight="1" x14ac:dyDescent="0.25">
      <c r="B5" s="1">
        <v>1</v>
      </c>
      <c r="C5" s="4">
        <v>4.534643</v>
      </c>
      <c r="D5" s="4">
        <v>6.0190919999999997</v>
      </c>
      <c r="E5" s="4">
        <v>8.4928790000000003</v>
      </c>
      <c r="F5" s="4">
        <v>5.5373049999999999</v>
      </c>
      <c r="G5" s="4">
        <v>5.2642009999999999</v>
      </c>
      <c r="H5" s="4">
        <v>4.98827</v>
      </c>
      <c r="I5" s="4">
        <v>9.2928990000000002</v>
      </c>
      <c r="J5" s="4">
        <v>5.8396610000000004</v>
      </c>
      <c r="K5" s="4">
        <v>10.118312</v>
      </c>
    </row>
    <row r="6" spans="2:11" ht="37.5" customHeight="1" x14ac:dyDescent="0.25">
      <c r="B6" s="1">
        <v>2</v>
      </c>
      <c r="C6" s="4">
        <v>1.9762299999999999</v>
      </c>
      <c r="D6" s="4">
        <v>5.1225579999999997</v>
      </c>
      <c r="E6" s="4">
        <v>7.9695320000000001</v>
      </c>
      <c r="F6" s="4">
        <v>4.542446</v>
      </c>
      <c r="G6" s="4">
        <v>4.3188630000000003</v>
      </c>
      <c r="H6" s="4">
        <v>0.89479200000000003</v>
      </c>
      <c r="I6" s="4">
        <v>8.6520700000000001</v>
      </c>
      <c r="J6" s="4">
        <v>5.0431929999999996</v>
      </c>
      <c r="K6" s="4">
        <v>9.5064270000000004</v>
      </c>
    </row>
    <row r="7" spans="2:11" ht="37.5" customHeight="1" x14ac:dyDescent="0.25">
      <c r="B7" s="1">
        <v>3</v>
      </c>
      <c r="C7" s="4">
        <v>4.130674</v>
      </c>
      <c r="D7" s="4">
        <v>5.6744490000000001</v>
      </c>
      <c r="E7" s="4">
        <v>5.9721080000000004</v>
      </c>
      <c r="F7" s="4">
        <v>5.0786360000000004</v>
      </c>
      <c r="G7" s="4">
        <v>4.9314220000000004</v>
      </c>
      <c r="H7" s="4">
        <v>4.8061809999999996</v>
      </c>
      <c r="I7" s="4">
        <v>9.0302799999999994</v>
      </c>
      <c r="J7" s="4">
        <v>5.4934229999999999</v>
      </c>
      <c r="K7" s="4">
        <v>9.8412740000000003</v>
      </c>
    </row>
    <row r="8" spans="2:11" ht="37.5" customHeight="1" x14ac:dyDescent="0.25">
      <c r="B8" s="1">
        <v>4</v>
      </c>
      <c r="C8" s="4">
        <v>3.7997749999999999</v>
      </c>
      <c r="D8" s="4">
        <v>5.1816519999999997</v>
      </c>
      <c r="E8" s="4">
        <v>8.426202</v>
      </c>
      <c r="F8" s="4">
        <v>4.761933</v>
      </c>
      <c r="G8" s="4">
        <v>4.4591240000000001</v>
      </c>
      <c r="H8" s="4">
        <v>4.3377559999999997</v>
      </c>
      <c r="I8" s="4">
        <v>8.6503460000000008</v>
      </c>
      <c r="J8" s="4">
        <v>5.2752270000000001</v>
      </c>
      <c r="K8" s="4">
        <v>9.4671350000000007</v>
      </c>
    </row>
    <row r="9" spans="2:11" ht="37.5" customHeight="1" x14ac:dyDescent="0.25">
      <c r="B9" s="1">
        <v>5</v>
      </c>
      <c r="C9" s="4">
        <v>7.4539850000000003</v>
      </c>
      <c r="D9" s="4">
        <v>8.7391900000000007</v>
      </c>
      <c r="E9" s="4">
        <v>9.6734609999999996</v>
      </c>
      <c r="F9" s="4">
        <v>8.0035779999999992</v>
      </c>
      <c r="G9" s="4">
        <v>8.1448730000000005</v>
      </c>
      <c r="H9" s="4">
        <v>8.0247589999999995</v>
      </c>
      <c r="I9" s="4">
        <v>9.0212380000000003</v>
      </c>
      <c r="J9" s="4">
        <v>8.4405789999999996</v>
      </c>
      <c r="K9" s="4">
        <v>12.89071</v>
      </c>
    </row>
    <row r="10" spans="2:11" ht="37.5" customHeight="1" x14ac:dyDescent="0.25">
      <c r="B10" s="1">
        <v>6</v>
      </c>
      <c r="C10" s="4">
        <v>7.9335019999999998</v>
      </c>
      <c r="D10" s="4">
        <v>9.1400710000000007</v>
      </c>
      <c r="E10" s="4">
        <v>10.530792999999999</v>
      </c>
      <c r="F10" s="4">
        <v>8.2786519999999992</v>
      </c>
      <c r="G10" s="4">
        <v>8.5192720000000008</v>
      </c>
      <c r="H10" s="4">
        <v>8.0998400000000004</v>
      </c>
      <c r="I10" s="4">
        <v>10.045776</v>
      </c>
      <c r="J10" s="4">
        <v>9.193899</v>
      </c>
      <c r="K10" s="4">
        <v>10.653511999999999</v>
      </c>
    </row>
    <row r="11" spans="2:11" ht="37.5" customHeight="1" x14ac:dyDescent="0.25">
      <c r="B11" s="1">
        <v>7</v>
      </c>
      <c r="C11" s="4">
        <v>7.6228069999999999</v>
      </c>
      <c r="D11" s="4">
        <v>8.8476300000000005</v>
      </c>
      <c r="E11" s="4">
        <v>10.621302</v>
      </c>
      <c r="F11" s="4">
        <v>8.1265800000000006</v>
      </c>
      <c r="G11" s="4">
        <v>8.2913340000000009</v>
      </c>
      <c r="H11" s="4">
        <v>8.2359019999999994</v>
      </c>
      <c r="I11" s="4">
        <v>9.957929</v>
      </c>
      <c r="J11" s="4">
        <v>8.6581080000000004</v>
      </c>
      <c r="K11" s="4">
        <v>13.279529</v>
      </c>
    </row>
    <row r="12" spans="2:11" ht="37.5" customHeight="1" x14ac:dyDescent="0.25">
      <c r="B12" s="1">
        <v>8</v>
      </c>
      <c r="C12" s="4">
        <v>3.6444869999999998</v>
      </c>
      <c r="D12" s="4">
        <v>5.5297010000000002</v>
      </c>
      <c r="E12" s="4">
        <v>8.4977359999999997</v>
      </c>
      <c r="F12" s="4">
        <v>5.2829949999999997</v>
      </c>
      <c r="G12" s="4">
        <v>4.8881290000000002</v>
      </c>
      <c r="H12" s="4">
        <v>4.3187280000000001</v>
      </c>
      <c r="I12" s="4">
        <v>9.0119450000000008</v>
      </c>
      <c r="J12" s="4">
        <v>5.5690860000000004</v>
      </c>
      <c r="K12" s="4">
        <v>10.473739999999999</v>
      </c>
    </row>
  </sheetData>
  <mergeCells count="1">
    <mergeCell ref="B2:K2"/>
  </mergeCells>
  <conditionalFormatting sqref="C5:K12">
    <cfRule type="dataBar" priority="1">
      <dataBar>
        <cfvo type="min"/>
        <cfvo type="max"/>
        <color rgb="FF008AEF"/>
      </dataBar>
    </cfRule>
  </conditionalFormatting>
  <pageMargins left="0.75" right="0.75" top="1" bottom="1" header="0.5" footer="0.5"/>
  <pageSetup paperSize="9" orientation="portrait" verticalDpi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14"/>
  <sheetViews>
    <sheetView workbookViewId="0">
      <selection activeCell="C16" sqref="C16"/>
    </sheetView>
  </sheetViews>
  <sheetFormatPr defaultRowHeight="15" x14ac:dyDescent="0.25"/>
  <cols>
    <col min="2" max="11" width="12.85546875" customWidth="1"/>
    <col min="12" max="12" width="13.140625" customWidth="1"/>
  </cols>
  <sheetData>
    <row r="2" spans="2:13" ht="21" customHeight="1" x14ac:dyDescent="0.35">
      <c r="B2" s="18" t="s">
        <v>37</v>
      </c>
      <c r="C2" s="19"/>
      <c r="D2" s="19"/>
      <c r="E2" s="19"/>
      <c r="F2" s="19"/>
      <c r="G2" s="19"/>
      <c r="H2" s="19"/>
      <c r="I2" s="19"/>
      <c r="J2" s="19"/>
      <c r="K2" s="20"/>
    </row>
    <row r="3" spans="2:13" x14ac:dyDescent="0.25">
      <c r="B3" s="8"/>
      <c r="C3" s="8"/>
      <c r="D3" s="8"/>
      <c r="E3" s="8"/>
      <c r="F3" s="8"/>
      <c r="G3" s="8"/>
      <c r="H3" s="8"/>
      <c r="I3" s="8"/>
      <c r="J3" s="8"/>
      <c r="K3" s="8"/>
    </row>
    <row r="4" spans="2:13" ht="30" customHeight="1" x14ac:dyDescent="0.25">
      <c r="B4" s="2"/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</row>
    <row r="5" spans="2:13" ht="37.5" customHeight="1" x14ac:dyDescent="0.25">
      <c r="B5" s="1">
        <v>1</v>
      </c>
      <c r="C5" s="5">
        <v>0.23760136030000001</v>
      </c>
      <c r="D5" s="5">
        <v>0.17276089980000001</v>
      </c>
      <c r="E5" s="5">
        <v>5.6535188200000003E-2</v>
      </c>
      <c r="F5" s="5">
        <v>0.21636715949999999</v>
      </c>
      <c r="G5" s="5">
        <v>0.21525722159999999</v>
      </c>
      <c r="H5" s="5">
        <v>0.29774262979999999</v>
      </c>
      <c r="I5" s="5">
        <v>3.1162439199999999E-2</v>
      </c>
      <c r="J5" s="5">
        <v>0.1518159396</v>
      </c>
      <c r="K5" s="5">
        <v>1.4218713500000001E-2</v>
      </c>
      <c r="M5" s="7">
        <f t="shared" ref="M5:M12" si="0">AVERAGE(C5:K5)</f>
        <v>0.15482906127777779</v>
      </c>
    </row>
    <row r="6" spans="2:13" ht="37.5" customHeight="1" x14ac:dyDescent="0.25">
      <c r="B6" s="1">
        <v>2</v>
      </c>
      <c r="C6" s="5">
        <v>0.63834771170000004</v>
      </c>
      <c r="D6" s="5">
        <v>0.29478291919999999</v>
      </c>
      <c r="E6" s="5">
        <v>0.10426153959999999</v>
      </c>
      <c r="F6" s="5">
        <v>0.4024552871</v>
      </c>
      <c r="G6" s="5">
        <v>0.36297076230000003</v>
      </c>
      <c r="H6" s="5">
        <v>0.71703173050000002</v>
      </c>
      <c r="I6" s="5">
        <v>5.4233290400000002E-2</v>
      </c>
      <c r="J6" s="5">
        <v>0.26271482979999999</v>
      </c>
      <c r="K6" s="5">
        <v>2.5678724199999999E-2</v>
      </c>
      <c r="M6" s="7">
        <f t="shared" si="0"/>
        <v>0.31805297720000003</v>
      </c>
    </row>
    <row r="7" spans="2:13" ht="37.5" customHeight="1" x14ac:dyDescent="0.25">
      <c r="B7" s="1">
        <v>3</v>
      </c>
      <c r="C7" s="5">
        <v>0.29797221010000002</v>
      </c>
      <c r="D7" s="5">
        <v>0.17979402880000001</v>
      </c>
      <c r="E7" s="5">
        <v>7.1358676900000001E-2</v>
      </c>
      <c r="F7" s="5">
        <v>0.21900476739999999</v>
      </c>
      <c r="G7" s="5">
        <v>0.22078583509999999</v>
      </c>
      <c r="H7" s="5">
        <v>0.2898366772</v>
      </c>
      <c r="I7" s="5">
        <v>2.9735901299999999E-2</v>
      </c>
      <c r="J7" s="5">
        <v>0.17012139840000001</v>
      </c>
      <c r="K7" s="5">
        <v>1.43411562E-2</v>
      </c>
      <c r="M7" s="7">
        <f t="shared" si="0"/>
        <v>0.16588340571111113</v>
      </c>
    </row>
    <row r="8" spans="2:13" ht="37.5" customHeight="1" x14ac:dyDescent="0.25">
      <c r="B8" s="1">
        <v>4</v>
      </c>
      <c r="C8" s="5">
        <v>0.36642078459999999</v>
      </c>
      <c r="D8" s="5">
        <v>0.24116531869999999</v>
      </c>
      <c r="E8" s="5">
        <v>7.9802534899999999E-2</v>
      </c>
      <c r="F8" s="5">
        <v>0.2867490009</v>
      </c>
      <c r="G8" s="5">
        <v>0.2974748982</v>
      </c>
      <c r="H8" s="5">
        <v>0.35510318689999998</v>
      </c>
      <c r="I8" s="5">
        <v>4.2109527200000003E-2</v>
      </c>
      <c r="J8" s="5">
        <v>0.21190477020000001</v>
      </c>
      <c r="K8" s="5">
        <v>2.07643117E-2</v>
      </c>
      <c r="M8" s="7">
        <f t="shared" si="0"/>
        <v>0.21127714814444445</v>
      </c>
    </row>
    <row r="9" spans="2:13" ht="37.5" customHeight="1" x14ac:dyDescent="0.25">
      <c r="B9" s="1">
        <v>5</v>
      </c>
      <c r="C9" s="5">
        <v>5.6876495899999997E-2</v>
      </c>
      <c r="D9" s="5">
        <v>1.72007705E-2</v>
      </c>
      <c r="E9" s="5">
        <v>7.9629512000000003E-3</v>
      </c>
      <c r="F9" s="5">
        <v>3.8248351999999999E-2</v>
      </c>
      <c r="G9" s="5">
        <v>2.2421045899999999E-2</v>
      </c>
      <c r="H9" s="5">
        <v>4.58998672E-2</v>
      </c>
      <c r="I9" s="5">
        <v>4.7214672000000001E-3</v>
      </c>
      <c r="J9" s="5">
        <v>1.4164344000000001E-2</v>
      </c>
      <c r="K9" s="5">
        <v>7.6479070000000002E-4</v>
      </c>
      <c r="M9" s="7">
        <f t="shared" si="0"/>
        <v>2.3140009399999998E-2</v>
      </c>
    </row>
    <row r="10" spans="2:13" ht="37.5" customHeight="1" x14ac:dyDescent="0.25">
      <c r="B10" s="1">
        <v>6</v>
      </c>
      <c r="C10" s="5">
        <v>5.7711225599999999E-2</v>
      </c>
      <c r="D10" s="5">
        <v>1.6980774399999999E-2</v>
      </c>
      <c r="E10" s="5">
        <v>7.5374732999999999E-3</v>
      </c>
      <c r="F10" s="5">
        <v>4.6517446499999997E-2</v>
      </c>
      <c r="G10" s="5">
        <v>2.2558970500000001E-2</v>
      </c>
      <c r="H10" s="5">
        <v>6.7866556800000005E-2</v>
      </c>
      <c r="I10" s="5">
        <v>3.6547045000000001E-3</v>
      </c>
      <c r="J10" s="5">
        <v>1.1860087E-2</v>
      </c>
      <c r="K10" s="5">
        <v>2.7870855000000001E-3</v>
      </c>
      <c r="M10" s="7">
        <f t="shared" si="0"/>
        <v>2.638603601111111E-2</v>
      </c>
    </row>
    <row r="11" spans="2:13" ht="37.5" customHeight="1" x14ac:dyDescent="0.25">
      <c r="B11" s="1">
        <v>7</v>
      </c>
      <c r="C11" s="5">
        <v>5.8578024499999999E-2</v>
      </c>
      <c r="D11" s="5">
        <v>1.6254745000000001E-2</v>
      </c>
      <c r="E11" s="5">
        <v>7.0293643000000003E-3</v>
      </c>
      <c r="F11" s="5">
        <v>3.8432962799999998E-2</v>
      </c>
      <c r="G11" s="5">
        <v>2.11948806E-2</v>
      </c>
      <c r="H11" s="5">
        <v>4.3589417999999998E-2</v>
      </c>
      <c r="I11" s="5">
        <v>4.0869762999999996E-3</v>
      </c>
      <c r="J11" s="5">
        <v>1.2620908599999999E-2</v>
      </c>
      <c r="K11" s="5">
        <v>2.9676149999999999E-4</v>
      </c>
      <c r="M11" s="7">
        <f t="shared" si="0"/>
        <v>2.2453782399999997E-2</v>
      </c>
    </row>
    <row r="12" spans="2:13" ht="37.5" customHeight="1" x14ac:dyDescent="0.25">
      <c r="B12" s="1">
        <v>8</v>
      </c>
      <c r="C12" s="5">
        <v>0.42645717649999998</v>
      </c>
      <c r="D12" s="5">
        <v>0.30074245440000003</v>
      </c>
      <c r="E12" s="5">
        <v>9.9601925399999999E-2</v>
      </c>
      <c r="F12" s="5">
        <v>0.35398097109999999</v>
      </c>
      <c r="G12" s="5">
        <v>0.35422716710000002</v>
      </c>
      <c r="H12" s="5">
        <v>0.49911177620000002</v>
      </c>
      <c r="I12" s="5">
        <v>5.25691509E-2</v>
      </c>
      <c r="J12" s="5">
        <v>0.25245390359999997</v>
      </c>
      <c r="K12" s="5">
        <v>2.1508712199999998E-2</v>
      </c>
      <c r="M12" s="7">
        <f t="shared" si="0"/>
        <v>0.26229480415555556</v>
      </c>
    </row>
    <row r="13" spans="2:13" ht="48" customHeight="1" x14ac:dyDescent="0.25"/>
    <row r="14" spans="2:13" ht="25.5" customHeight="1" x14ac:dyDescent="0.25">
      <c r="C14" s="7">
        <f t="shared" ref="C14:K14" si="1">AVERAGE(C5:C12)</f>
        <v>0.26749562365000001</v>
      </c>
      <c r="D14" s="7">
        <f t="shared" si="1"/>
        <v>0.15496023885000001</v>
      </c>
      <c r="E14" s="7">
        <f t="shared" si="1"/>
        <v>5.4261206724999997E-2</v>
      </c>
      <c r="F14" s="7">
        <f t="shared" si="1"/>
        <v>0.20021949341249998</v>
      </c>
      <c r="G14" s="7">
        <f t="shared" si="1"/>
        <v>0.18961134766249998</v>
      </c>
      <c r="H14" s="7">
        <f t="shared" si="1"/>
        <v>0.28952273032500003</v>
      </c>
      <c r="I14" s="7">
        <f t="shared" si="1"/>
        <v>2.7784182124999997E-2</v>
      </c>
      <c r="J14" s="7">
        <f t="shared" si="1"/>
        <v>0.13595702264999998</v>
      </c>
      <c r="K14" s="7">
        <f t="shared" si="1"/>
        <v>1.2545031937499999E-2</v>
      </c>
    </row>
  </sheetData>
  <mergeCells count="1">
    <mergeCell ref="B2:K2"/>
  </mergeCells>
  <conditionalFormatting sqref="C5:K12">
    <cfRule type="colorScale" priority="3">
      <colorScale>
        <cfvo type="min"/>
        <cfvo type="max"/>
        <color rgb="FFFCFCFF"/>
        <color rgb="FF63BE7B"/>
      </colorScale>
    </cfRule>
  </conditionalFormatting>
  <conditionalFormatting sqref="M5:M12">
    <cfRule type="colorScale" priority="2">
      <colorScale>
        <cfvo type="min"/>
        <cfvo type="max"/>
        <color rgb="FFFCFCFF"/>
        <color rgb="FFF8696B"/>
      </colorScale>
    </cfRule>
  </conditionalFormatting>
  <conditionalFormatting sqref="C14:K14">
    <cfRule type="colorScale" priority="1">
      <colorScale>
        <cfvo type="min"/>
        <cfvo type="max"/>
        <color rgb="FFFCFCFF"/>
        <color rgb="FFF8696B"/>
      </colorScale>
    </cfRule>
  </conditionalFormatting>
  <pageMargins left="0.75" right="0.75" top="1" bottom="1" header="0.5" footer="0.5"/>
  <pageSetup paperSize="9" orientation="portrait" verticalDpi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2"/>
  <sheetViews>
    <sheetView workbookViewId="0"/>
  </sheetViews>
  <sheetFormatPr defaultRowHeight="15" x14ac:dyDescent="0.25"/>
  <cols>
    <col min="2" max="11" width="12.85546875" customWidth="1"/>
  </cols>
  <sheetData>
    <row r="2" spans="2:11" ht="21" customHeight="1" x14ac:dyDescent="0.35">
      <c r="B2" s="18" t="s">
        <v>38</v>
      </c>
      <c r="C2" s="19"/>
      <c r="D2" s="19"/>
      <c r="E2" s="19"/>
      <c r="F2" s="19"/>
      <c r="G2" s="19"/>
      <c r="H2" s="19"/>
      <c r="I2" s="19"/>
      <c r="J2" s="19"/>
      <c r="K2" s="20"/>
    </row>
    <row r="3" spans="2:11" x14ac:dyDescent="0.25">
      <c r="B3" s="8"/>
      <c r="C3" s="8"/>
      <c r="D3" s="8"/>
      <c r="E3" s="8"/>
      <c r="F3" s="8"/>
      <c r="G3" s="8"/>
      <c r="H3" s="8"/>
      <c r="I3" s="8"/>
      <c r="J3" s="8"/>
      <c r="K3" s="8"/>
    </row>
    <row r="4" spans="2:11" ht="30" customHeight="1" x14ac:dyDescent="0.25">
      <c r="B4" s="2"/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</row>
    <row r="5" spans="2:11" ht="37.5" customHeight="1" x14ac:dyDescent="0.25">
      <c r="B5" s="1">
        <v>1</v>
      </c>
      <c r="C5" s="3">
        <v>1.2602889999999999E-4</v>
      </c>
      <c r="D5" s="3">
        <v>6.3695399999999993E-5</v>
      </c>
      <c r="E5" s="3">
        <v>7.8815999999999992E-6</v>
      </c>
      <c r="F5" s="3">
        <v>9.7062699999999995E-5</v>
      </c>
      <c r="G5" s="3">
        <v>1.110645E-4</v>
      </c>
      <c r="H5" s="3">
        <v>1.890971E-4</v>
      </c>
      <c r="I5" s="3">
        <v>6.8853E-6</v>
      </c>
      <c r="J5" s="3">
        <v>5.8160800000000001E-5</v>
      </c>
      <c r="K5" s="3">
        <v>1.0640000000000001E-6</v>
      </c>
    </row>
    <row r="6" spans="2:11" ht="37.5" customHeight="1" x14ac:dyDescent="0.25">
      <c r="B6" s="1">
        <v>2</v>
      </c>
      <c r="C6" s="3">
        <v>7.115496E-4</v>
      </c>
      <c r="D6" s="3">
        <v>2.056812E-4</v>
      </c>
      <c r="E6" s="3">
        <v>2.9183000000000002E-5</v>
      </c>
      <c r="F6" s="3">
        <v>3.1302430000000001E-4</v>
      </c>
      <c r="G6" s="3">
        <v>3.4782770000000001E-4</v>
      </c>
      <c r="H6" s="3">
        <v>8.6165320000000005E-4</v>
      </c>
      <c r="I6" s="3">
        <v>2.0811599999999999E-5</v>
      </c>
      <c r="J6" s="3">
        <v>1.857966E-4</v>
      </c>
      <c r="K6" s="3">
        <v>3.5885E-6</v>
      </c>
    </row>
    <row r="7" spans="2:11" ht="37.5" customHeight="1" x14ac:dyDescent="0.25">
      <c r="B7" s="1">
        <v>3</v>
      </c>
      <c r="C7" s="3">
        <v>1.9982809999999999E-4</v>
      </c>
      <c r="D7" s="3">
        <v>7.0969099999999998E-5</v>
      </c>
      <c r="E7" s="3">
        <v>1.02932E-5</v>
      </c>
      <c r="F7" s="3">
        <v>1.024563E-4</v>
      </c>
      <c r="G7" s="3">
        <v>1.170149E-4</v>
      </c>
      <c r="H7" s="3">
        <v>1.747614E-4</v>
      </c>
      <c r="I7" s="3">
        <v>5.8528000000000001E-6</v>
      </c>
      <c r="J7" s="3">
        <v>7.1956299999999994E-5</v>
      </c>
      <c r="K7" s="3">
        <v>1.043E-6</v>
      </c>
    </row>
    <row r="8" spans="2:11" ht="37.5" customHeight="1" x14ac:dyDescent="0.25">
      <c r="B8" s="1">
        <v>4</v>
      </c>
      <c r="C8" s="3">
        <v>3.4522300000000003E-4</v>
      </c>
      <c r="D8" s="3">
        <v>1.3694010000000001E-4</v>
      </c>
      <c r="E8" s="3">
        <v>2.1067300000000001E-5</v>
      </c>
      <c r="F8" s="3">
        <v>1.961551E-4</v>
      </c>
      <c r="G8" s="3">
        <v>2.29941E-4</v>
      </c>
      <c r="H8" s="3">
        <v>2.999314E-4</v>
      </c>
      <c r="I8" s="3">
        <v>1.2481599999999999E-5</v>
      </c>
      <c r="J8" s="3">
        <v>1.1548010000000001E-4</v>
      </c>
      <c r="K8" s="3">
        <v>2.3740000000000001E-6</v>
      </c>
    </row>
    <row r="9" spans="2:11" ht="37.5" customHeight="1" x14ac:dyDescent="0.25">
      <c r="B9" s="1">
        <v>5</v>
      </c>
      <c r="C9" s="3">
        <v>8.5835000000000001E-6</v>
      </c>
      <c r="D9" s="3">
        <v>5.9260000000000005E-7</v>
      </c>
      <c r="E9" s="3">
        <v>1.2809999999999999E-7</v>
      </c>
      <c r="F9" s="3">
        <v>2.7184999999999999E-6</v>
      </c>
      <c r="G9" s="3">
        <v>1.0954999999999999E-6</v>
      </c>
      <c r="H9" s="3">
        <v>4.9405000000000004E-6</v>
      </c>
      <c r="I9" s="3">
        <v>5.8899999999999998E-8</v>
      </c>
      <c r="J9" s="3">
        <v>4.6839999999999999E-7</v>
      </c>
      <c r="K9" s="3">
        <v>1.9000000000000001E-9</v>
      </c>
    </row>
    <row r="10" spans="2:11" ht="37.5" customHeight="1" x14ac:dyDescent="0.25">
      <c r="B10" s="1">
        <v>6</v>
      </c>
      <c r="C10" s="3">
        <v>8.4013000000000004E-6</v>
      </c>
      <c r="D10" s="3">
        <v>5.1490000000000004E-7</v>
      </c>
      <c r="E10" s="3">
        <v>1.0700000000000001E-7</v>
      </c>
      <c r="F10" s="3">
        <v>4.9342000000000001E-6</v>
      </c>
      <c r="G10" s="3">
        <v>9.794000000000001E-7</v>
      </c>
      <c r="H10" s="3">
        <v>1.0784E-5</v>
      </c>
      <c r="I10" s="3">
        <v>3.9500000000000003E-8</v>
      </c>
      <c r="J10" s="3">
        <v>3.0470000000000002E-7</v>
      </c>
      <c r="K10" s="3">
        <v>2.18E-8</v>
      </c>
    </row>
    <row r="11" spans="2:11" ht="37.5" customHeight="1" x14ac:dyDescent="0.25">
      <c r="B11" s="1">
        <v>7</v>
      </c>
      <c r="C11" s="3">
        <v>9.6647999999999994E-6</v>
      </c>
      <c r="D11" s="3">
        <v>6.1610000000000002E-7</v>
      </c>
      <c r="E11" s="3">
        <v>1.038E-7</v>
      </c>
      <c r="F11" s="3">
        <v>3.6921000000000002E-6</v>
      </c>
      <c r="G11" s="3">
        <v>9.9260000000000003E-7</v>
      </c>
      <c r="H11" s="3">
        <v>4.7454999999999997E-6</v>
      </c>
      <c r="I11" s="3">
        <v>5.1E-8</v>
      </c>
      <c r="J11" s="3">
        <v>4.0499999999999999E-7</v>
      </c>
      <c r="K11" s="3">
        <v>3E-10</v>
      </c>
    </row>
    <row r="12" spans="2:11" ht="37.5" customHeight="1" x14ac:dyDescent="0.25">
      <c r="B12" s="1">
        <v>8</v>
      </c>
      <c r="C12" s="3">
        <v>4.6968630000000002E-4</v>
      </c>
      <c r="D12" s="3">
        <v>2.0533300000000001E-4</v>
      </c>
      <c r="E12" s="3">
        <v>3.6794700000000002E-5</v>
      </c>
      <c r="F12" s="3">
        <v>3.0858710000000001E-4</v>
      </c>
      <c r="G12" s="3">
        <v>3.144981E-4</v>
      </c>
      <c r="H12" s="3">
        <v>5.4324470000000004E-4</v>
      </c>
      <c r="I12" s="3">
        <v>2.0593200000000001E-5</v>
      </c>
      <c r="J12" s="3">
        <v>1.68918E-4</v>
      </c>
      <c r="K12" s="3">
        <v>2.8044000000000002E-6</v>
      </c>
    </row>
  </sheetData>
  <mergeCells count="1">
    <mergeCell ref="B2:K2"/>
  </mergeCells>
  <pageMargins left="0.75" right="0.75" top="1" bottom="1" header="0.5" footer="0.5"/>
  <pageSetup paperSize="9" orientation="portrait" verticalDpi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2"/>
  <sheetViews>
    <sheetView workbookViewId="0">
      <selection activeCell="M11" sqref="M11"/>
    </sheetView>
  </sheetViews>
  <sheetFormatPr defaultRowHeight="15" x14ac:dyDescent="0.25"/>
  <cols>
    <col min="2" max="11" width="12.85546875" customWidth="1"/>
  </cols>
  <sheetData>
    <row r="2" spans="2:11" ht="21" customHeight="1" x14ac:dyDescent="0.35">
      <c r="B2" s="18" t="s">
        <v>39</v>
      </c>
      <c r="C2" s="19"/>
      <c r="D2" s="19"/>
      <c r="E2" s="19"/>
      <c r="F2" s="19"/>
      <c r="G2" s="19"/>
      <c r="H2" s="19"/>
      <c r="I2" s="19"/>
      <c r="J2" s="19"/>
      <c r="K2" s="20"/>
    </row>
    <row r="3" spans="2:11" x14ac:dyDescent="0.25">
      <c r="B3" s="8"/>
      <c r="C3" s="8"/>
      <c r="D3" s="8"/>
      <c r="E3" s="8"/>
      <c r="F3" s="8"/>
      <c r="G3" s="8"/>
      <c r="H3" s="8"/>
      <c r="I3" s="8"/>
      <c r="J3" s="8"/>
      <c r="K3" s="8"/>
    </row>
    <row r="4" spans="2:11" ht="30" customHeight="1" x14ac:dyDescent="0.25">
      <c r="B4" s="2"/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</row>
    <row r="5" spans="2:11" ht="37.5" customHeight="1" x14ac:dyDescent="0.25">
      <c r="B5" s="1">
        <v>1</v>
      </c>
      <c r="C5" s="5">
        <v>0.1229031228527476</v>
      </c>
      <c r="D5" s="5">
        <v>7.7732857119534371E-2</v>
      </c>
      <c r="E5" s="5">
        <v>9.0012866724608447E-3</v>
      </c>
      <c r="F5" s="5">
        <v>0.14292783138867049</v>
      </c>
      <c r="G5" s="5">
        <v>0.1038004605117753</v>
      </c>
      <c r="H5" s="5">
        <v>0.1692949613552886</v>
      </c>
      <c r="I5" s="5">
        <v>3.698271559579071E-3</v>
      </c>
      <c r="J5" s="5">
        <v>4.1400177995625217E-2</v>
      </c>
      <c r="K5" s="5">
        <v>8.6403054635793394E-4</v>
      </c>
    </row>
    <row r="6" spans="2:11" ht="37.5" customHeight="1" x14ac:dyDescent="0.25">
      <c r="B6" s="1">
        <v>2</v>
      </c>
      <c r="C6" s="5">
        <v>0.41011389342832277</v>
      </c>
      <c r="D6" s="5">
        <v>0.151574142632183</v>
      </c>
      <c r="E6" s="5">
        <v>2.0961150335923811E-2</v>
      </c>
      <c r="F6" s="5">
        <v>0.42816434057439118</v>
      </c>
      <c r="G6" s="5">
        <v>0.17716605250935219</v>
      </c>
      <c r="H6" s="5">
        <v>0.44271140909825851</v>
      </c>
      <c r="I6" s="5">
        <v>7.0456885361894154E-3</v>
      </c>
      <c r="J6" s="5">
        <v>0.1310184207911074</v>
      </c>
      <c r="K6" s="5">
        <v>2.5583055678211281E-3</v>
      </c>
    </row>
    <row r="7" spans="2:11" ht="37.5" customHeight="1" x14ac:dyDescent="0.25">
      <c r="B7" s="1">
        <v>3</v>
      </c>
      <c r="C7" s="5">
        <v>0.15734826207834199</v>
      </c>
      <c r="D7" s="5">
        <v>5.0985279592860228E-2</v>
      </c>
      <c r="E7" s="5">
        <v>1.066659574250212E-2</v>
      </c>
      <c r="F7" s="5">
        <v>0.1043411403404061</v>
      </c>
      <c r="G7" s="5">
        <v>6.0757850543438817E-2</v>
      </c>
      <c r="H7" s="5">
        <v>0.25222998159089238</v>
      </c>
      <c r="I7" s="5">
        <v>1.7654848775081791E-3</v>
      </c>
      <c r="J7" s="5">
        <v>4.8290913860019241E-2</v>
      </c>
      <c r="K7" s="5">
        <v>8.2749241156752419E-4</v>
      </c>
    </row>
    <row r="8" spans="2:11" ht="37.5" customHeight="1" x14ac:dyDescent="0.25">
      <c r="B8" s="1">
        <v>4</v>
      </c>
      <c r="C8" s="5">
        <v>0.11433896432845431</v>
      </c>
      <c r="D8" s="5">
        <v>9.1055458946078277E-2</v>
      </c>
      <c r="E8" s="5">
        <v>1.3015868282772149E-2</v>
      </c>
      <c r="F8" s="5">
        <v>9.9127906478584785E-2</v>
      </c>
      <c r="G8" s="5">
        <v>0.10547192313437601</v>
      </c>
      <c r="H8" s="5">
        <v>0.13080582311688041</v>
      </c>
      <c r="I8" s="5">
        <v>3.22728220237796E-3</v>
      </c>
      <c r="J8" s="5">
        <v>7.6693147641236775E-2</v>
      </c>
      <c r="K8" s="5">
        <v>1.421146158968839E-3</v>
      </c>
    </row>
    <row r="9" spans="2:11" ht="37.5" customHeight="1" x14ac:dyDescent="0.25">
      <c r="B9" s="1">
        <v>5</v>
      </c>
      <c r="C9" s="5">
        <v>4.2113131794149383E-2</v>
      </c>
      <c r="D9" s="5">
        <v>9.3140719458949511E-3</v>
      </c>
      <c r="E9" s="5">
        <v>1.247946573099689E-3</v>
      </c>
      <c r="F9" s="5">
        <v>4.8424730880020528E-2</v>
      </c>
      <c r="G9" s="5">
        <v>1.1205192975266129E-2</v>
      </c>
      <c r="H9" s="5">
        <v>5.2161581264746702E-2</v>
      </c>
      <c r="I9" s="5">
        <v>2.3932746827237959E-4</v>
      </c>
      <c r="J9" s="5">
        <v>3.3150586166462372E-3</v>
      </c>
      <c r="K9" s="5">
        <v>1.347732737862497E-4</v>
      </c>
    </row>
    <row r="10" spans="2:11" ht="37.5" customHeight="1" x14ac:dyDescent="0.25">
      <c r="B10" s="1">
        <v>6</v>
      </c>
      <c r="C10" s="5">
        <v>4.2518264585621038E-2</v>
      </c>
      <c r="D10" s="5">
        <v>1.709583923058813E-2</v>
      </c>
      <c r="E10" s="5">
        <v>1.1332614224961091E-3</v>
      </c>
      <c r="F10" s="5">
        <v>9.6903802067274475E-2</v>
      </c>
      <c r="G10" s="5">
        <v>1.964513849788883E-2</v>
      </c>
      <c r="H10" s="5">
        <v>0.13577237886891819</v>
      </c>
      <c r="I10" s="5">
        <v>2.2463611284649539E-4</v>
      </c>
      <c r="J10" s="5">
        <v>2.347892918685153E-3</v>
      </c>
      <c r="K10" s="5">
        <v>1.2577966054055841E-4</v>
      </c>
    </row>
    <row r="11" spans="2:11" ht="37.5" customHeight="1" x14ac:dyDescent="0.25">
      <c r="B11" s="1">
        <v>7</v>
      </c>
      <c r="C11" s="5">
        <v>4.1735247513627977E-2</v>
      </c>
      <c r="D11" s="5">
        <v>1.088683415923429E-2</v>
      </c>
      <c r="E11" s="5">
        <v>1.197553917529671E-3</v>
      </c>
      <c r="F11" s="5">
        <v>4.9987079394581427E-2</v>
      </c>
      <c r="G11" s="5">
        <v>1.2124860662919431E-2</v>
      </c>
      <c r="H11" s="5">
        <v>5.7627513361363757E-2</v>
      </c>
      <c r="I11" s="5">
        <v>2.4006690178489981E-4</v>
      </c>
      <c r="J11" s="5">
        <v>2.8681161559362591E-3</v>
      </c>
      <c r="K11" s="5">
        <v>1.3307778620332071E-4</v>
      </c>
    </row>
    <row r="12" spans="2:11" ht="37.5" customHeight="1" x14ac:dyDescent="0.25">
      <c r="B12" s="1">
        <v>8</v>
      </c>
      <c r="C12" s="5">
        <v>0.19891121812027959</v>
      </c>
      <c r="D12" s="5">
        <v>0.16848204255293101</v>
      </c>
      <c r="E12" s="5">
        <v>1.6504890030350321E-2</v>
      </c>
      <c r="F12" s="5">
        <v>0.23542886808574059</v>
      </c>
      <c r="G12" s="5">
        <v>0.2002432294503752</v>
      </c>
      <c r="H12" s="5">
        <v>0.36537661507793118</v>
      </c>
      <c r="I12" s="5">
        <v>1.132284264908524E-2</v>
      </c>
      <c r="J12" s="5">
        <v>0.1414258524591879</v>
      </c>
      <c r="K12" s="5">
        <v>2.525816935377876E-3</v>
      </c>
    </row>
  </sheetData>
  <mergeCells count="1">
    <mergeCell ref="B2:K2"/>
  </mergeCells>
  <conditionalFormatting sqref="C5:K12">
    <cfRule type="colorScale" priority="1">
      <colorScale>
        <cfvo type="min"/>
        <cfvo type="max"/>
        <color rgb="FFFCFCFF"/>
        <color rgb="FFF8696B"/>
      </colorScale>
    </cfRule>
  </conditionalFormatting>
  <pageMargins left="0.75" right="0.75" top="1" bottom="1" header="0.5" footer="0.5"/>
  <pageSetup paperSize="9" orientation="portrait" verticalDpi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2"/>
  <sheetViews>
    <sheetView workbookViewId="0">
      <selection activeCell="O10" sqref="O10"/>
    </sheetView>
  </sheetViews>
  <sheetFormatPr defaultRowHeight="15" x14ac:dyDescent="0.25"/>
  <cols>
    <col min="2" max="11" width="12.85546875" customWidth="1"/>
  </cols>
  <sheetData>
    <row r="2" spans="2:11" ht="21" customHeight="1" x14ac:dyDescent="0.35">
      <c r="B2" s="18" t="s">
        <v>40</v>
      </c>
      <c r="C2" s="19"/>
      <c r="D2" s="19"/>
      <c r="E2" s="19"/>
      <c r="F2" s="19"/>
      <c r="G2" s="19"/>
      <c r="H2" s="19"/>
      <c r="I2" s="19"/>
      <c r="J2" s="19"/>
      <c r="K2" s="20"/>
    </row>
    <row r="3" spans="2:11" x14ac:dyDescent="0.25">
      <c r="B3" s="8"/>
      <c r="C3" s="8"/>
      <c r="D3" s="8"/>
      <c r="E3" s="8"/>
      <c r="F3" s="8"/>
      <c r="G3" s="8"/>
      <c r="H3" s="8"/>
      <c r="I3" s="8"/>
      <c r="J3" s="8"/>
      <c r="K3" s="8"/>
    </row>
    <row r="4" spans="2:11" ht="30" customHeight="1" x14ac:dyDescent="0.25">
      <c r="B4" s="2"/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</row>
    <row r="5" spans="2:11" ht="37.5" customHeight="1" x14ac:dyDescent="0.25">
      <c r="B5" s="1">
        <v>1</v>
      </c>
      <c r="C5" s="5">
        <v>0.12400345455585569</v>
      </c>
      <c r="D5" s="5">
        <v>7.9891583356523757E-2</v>
      </c>
      <c r="E5" s="5">
        <v>8.1031199347937864E-3</v>
      </c>
      <c r="F5" s="5">
        <v>0.14041825152186141</v>
      </c>
      <c r="G5" s="5">
        <v>0.11678763148824479</v>
      </c>
      <c r="H5" s="5">
        <v>0.1652412204057741</v>
      </c>
      <c r="I5" s="5">
        <v>3.6175782767151449E-3</v>
      </c>
      <c r="J5" s="5">
        <v>4.3550542641768178E-2</v>
      </c>
      <c r="K5" s="5">
        <v>8.6950302615110026E-4</v>
      </c>
    </row>
    <row r="6" spans="2:11" ht="37.5" customHeight="1" x14ac:dyDescent="0.25">
      <c r="B6" s="1">
        <v>2</v>
      </c>
      <c r="C6" s="5">
        <v>0.41653975260708298</v>
      </c>
      <c r="D6" s="5">
        <v>0.2111446923610921</v>
      </c>
      <c r="E6" s="5">
        <v>2.0403575219639342E-2</v>
      </c>
      <c r="F6" s="5">
        <v>0.42374555594815572</v>
      </c>
      <c r="G6" s="5">
        <v>0.37198670550917518</v>
      </c>
      <c r="H6" s="5">
        <v>0.44679363022133489</v>
      </c>
      <c r="I6" s="5">
        <v>6.9697110935283257E-3</v>
      </c>
      <c r="J6" s="5">
        <v>0.13037966666350789</v>
      </c>
      <c r="K6" s="5">
        <v>2.5674769153019089E-3</v>
      </c>
    </row>
    <row r="7" spans="2:11" ht="37.5" customHeight="1" x14ac:dyDescent="0.25">
      <c r="B7" s="1">
        <v>3</v>
      </c>
      <c r="C7" s="5">
        <v>0.24566852440787801</v>
      </c>
      <c r="D7" s="5">
        <v>6.4640996761773803E-2</v>
      </c>
      <c r="E7" s="5">
        <v>9.6892403697497517E-3</v>
      </c>
      <c r="F7" s="5">
        <v>0.2556102355909779</v>
      </c>
      <c r="G7" s="5">
        <v>9.1385041776418638E-2</v>
      </c>
      <c r="H7" s="5">
        <v>0.26726840122494139</v>
      </c>
      <c r="I7" s="5">
        <v>1.752187484504776E-3</v>
      </c>
      <c r="J7" s="5">
        <v>5.7395710384093288E-2</v>
      </c>
      <c r="K7" s="5">
        <v>8.262795845153521E-4</v>
      </c>
    </row>
    <row r="8" spans="2:11" ht="37.5" customHeight="1" x14ac:dyDescent="0.25">
      <c r="B8" s="1">
        <v>4</v>
      </c>
      <c r="C8" s="5">
        <v>0.30551666115764942</v>
      </c>
      <c r="D8" s="5">
        <v>9.6468221058409062E-2</v>
      </c>
      <c r="E8" s="5">
        <v>1.3772117351787501E-2</v>
      </c>
      <c r="F8" s="5">
        <v>0.1244038093615185</v>
      </c>
      <c r="G8" s="5">
        <v>0.12796704640288409</v>
      </c>
      <c r="H8" s="5">
        <v>0.26256824784474248</v>
      </c>
      <c r="I8" s="5">
        <v>3.097981065530215E-3</v>
      </c>
      <c r="J8" s="5">
        <v>8.2440232876817648E-2</v>
      </c>
      <c r="K8" s="5">
        <v>1.3754710841402491E-3</v>
      </c>
    </row>
    <row r="9" spans="2:11" ht="37.5" customHeight="1" x14ac:dyDescent="0.25">
      <c r="B9" s="1">
        <v>5</v>
      </c>
      <c r="C9" s="5">
        <v>4.2364926084781027E-2</v>
      </c>
      <c r="D9" s="5">
        <v>1.293934994592362E-2</v>
      </c>
      <c r="E9" s="5">
        <v>1.4559807140528389E-3</v>
      </c>
      <c r="F9" s="5">
        <v>4.8163629461499907E-2</v>
      </c>
      <c r="G9" s="5">
        <v>1.1222457322812161E-2</v>
      </c>
      <c r="H9" s="5">
        <v>5.1632051538621958E-2</v>
      </c>
      <c r="I9" s="5">
        <v>2.400592634648607E-4</v>
      </c>
      <c r="J9" s="5">
        <v>2.8443568223188052E-3</v>
      </c>
      <c r="K9" s="5">
        <v>1.356850530552008E-4</v>
      </c>
    </row>
    <row r="10" spans="2:11" ht="37.5" customHeight="1" x14ac:dyDescent="0.25">
      <c r="B10" s="1">
        <v>6</v>
      </c>
      <c r="C10" s="5">
        <v>4.069620598979317E-2</v>
      </c>
      <c r="D10" s="5">
        <v>1.6439613710401101E-2</v>
      </c>
      <c r="E10" s="5">
        <v>1.31978100359307E-3</v>
      </c>
      <c r="F10" s="5">
        <v>9.5178543767649962E-2</v>
      </c>
      <c r="G10" s="5">
        <v>1.9189874797968891E-2</v>
      </c>
      <c r="H10" s="5">
        <v>0.1419306645827032</v>
      </c>
      <c r="I10" s="5">
        <v>2.26510459953705E-4</v>
      </c>
      <c r="J10" s="5">
        <v>2.9061561441695509E-3</v>
      </c>
      <c r="K10" s="5">
        <v>1.2646205340310861E-4</v>
      </c>
    </row>
    <row r="11" spans="2:11" ht="37.5" customHeight="1" x14ac:dyDescent="0.25">
      <c r="B11" s="1">
        <v>7</v>
      </c>
      <c r="C11" s="5">
        <v>4.218744723088496E-2</v>
      </c>
      <c r="D11" s="5">
        <v>1.390421174404537E-2</v>
      </c>
      <c r="E11" s="5">
        <v>1.368717624764167E-3</v>
      </c>
      <c r="F11" s="5">
        <v>5.0134612356309463E-2</v>
      </c>
      <c r="G11" s="5">
        <v>1.1151495940092239E-2</v>
      </c>
      <c r="H11" s="5">
        <v>5.6879483657361368E-2</v>
      </c>
      <c r="I11" s="5">
        <v>2.37658334706254E-4</v>
      </c>
      <c r="J11" s="5">
        <v>2.8296694993559298E-3</v>
      </c>
      <c r="K11" s="5">
        <v>1.3319339110013319E-4</v>
      </c>
    </row>
    <row r="12" spans="2:11" ht="37.5" customHeight="1" x14ac:dyDescent="0.25">
      <c r="B12" s="1">
        <v>8</v>
      </c>
      <c r="C12" s="5">
        <v>0.32962431511301521</v>
      </c>
      <c r="D12" s="5">
        <v>0.2221545914874368</v>
      </c>
      <c r="E12" s="5">
        <v>2.0079508815007849E-2</v>
      </c>
      <c r="F12" s="5">
        <v>0.247088508675645</v>
      </c>
      <c r="G12" s="5">
        <v>0.27771428907974699</v>
      </c>
      <c r="H12" s="5">
        <v>0.35290074448822573</v>
      </c>
      <c r="I12" s="5">
        <v>1.119241518949836E-2</v>
      </c>
      <c r="J12" s="5">
        <v>0.17308509887195331</v>
      </c>
      <c r="K12" s="5">
        <v>2.682923382755466E-3</v>
      </c>
    </row>
  </sheetData>
  <mergeCells count="1">
    <mergeCell ref="B2:K2"/>
  </mergeCells>
  <conditionalFormatting sqref="C5:K12">
    <cfRule type="colorScale" priority="1">
      <colorScale>
        <cfvo type="min"/>
        <cfvo type="max"/>
        <color rgb="FFFCFCFF"/>
        <color rgb="FFF8696B"/>
      </colorScale>
    </cfRule>
  </conditionalFormatting>
  <pageMargins left="0.75" right="0.75" top="1" bottom="1" header="0.5" footer="0.5"/>
  <pageSetup paperSize="9" orientation="portrait" verticalDpi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2"/>
  <sheetViews>
    <sheetView workbookViewId="0">
      <selection activeCell="X43" sqref="X43"/>
    </sheetView>
  </sheetViews>
  <sheetFormatPr defaultRowHeight="15" x14ac:dyDescent="0.25"/>
  <cols>
    <col min="2" max="11" width="12.85546875" customWidth="1"/>
  </cols>
  <sheetData>
    <row r="2" spans="2:11" ht="21" customHeight="1" x14ac:dyDescent="0.35">
      <c r="B2" s="18" t="s">
        <v>41</v>
      </c>
      <c r="C2" s="19"/>
      <c r="D2" s="19"/>
      <c r="E2" s="19"/>
      <c r="F2" s="19"/>
      <c r="G2" s="19"/>
      <c r="H2" s="19"/>
      <c r="I2" s="19"/>
      <c r="J2" s="19"/>
      <c r="K2" s="20"/>
    </row>
    <row r="3" spans="2:11" x14ac:dyDescent="0.25">
      <c r="B3" s="8"/>
      <c r="C3" s="8"/>
      <c r="D3" s="8"/>
      <c r="E3" s="8"/>
      <c r="F3" s="8"/>
      <c r="G3" s="8"/>
      <c r="H3" s="8"/>
      <c r="I3" s="8"/>
      <c r="J3" s="8"/>
      <c r="K3" s="8"/>
    </row>
    <row r="4" spans="2:11" ht="30" customHeight="1" x14ac:dyDescent="0.25">
      <c r="B4" s="2"/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</row>
    <row r="5" spans="2:11" ht="37.5" customHeight="1" x14ac:dyDescent="0.25">
      <c r="B5" s="1">
        <v>1</v>
      </c>
      <c r="C5" s="5">
        <v>0.52283543408646527</v>
      </c>
      <c r="D5" s="5">
        <v>0.59685141627224236</v>
      </c>
      <c r="E5" s="5">
        <v>0.58345365045853526</v>
      </c>
      <c r="F5" s="5">
        <v>0.59952575026711852</v>
      </c>
      <c r="G5" s="5">
        <v>0.61098867500910425</v>
      </c>
      <c r="H5" s="5">
        <v>0.63585869154911845</v>
      </c>
      <c r="I5" s="5">
        <v>7.2482670419594872E-3</v>
      </c>
      <c r="J5" s="5">
        <v>0.4674539098154058</v>
      </c>
      <c r="K5" s="5">
        <v>0.6098598913296237</v>
      </c>
    </row>
    <row r="6" spans="2:11" ht="37.5" customHeight="1" x14ac:dyDescent="0.25">
      <c r="B6" s="1">
        <v>2</v>
      </c>
      <c r="C6" s="5">
        <v>0.51760198891227549</v>
      </c>
      <c r="D6" s="5">
        <v>0.56303239733322619</v>
      </c>
      <c r="E6" s="5">
        <v>0.52562003050852557</v>
      </c>
      <c r="F6" s="5">
        <v>0.5269916217814673</v>
      </c>
      <c r="G6" s="5">
        <v>0.56657541792742583</v>
      </c>
      <c r="H6" s="5">
        <v>0.56082346705152286</v>
      </c>
      <c r="I6" s="5">
        <v>2.324414053981012E-2</v>
      </c>
      <c r="J6" s="5">
        <v>0.46593132262096731</v>
      </c>
      <c r="K6" s="5">
        <v>0.61823174812132353</v>
      </c>
    </row>
    <row r="7" spans="2:11" ht="37.5" customHeight="1" x14ac:dyDescent="0.25">
      <c r="B7" s="1">
        <v>3</v>
      </c>
      <c r="C7" s="5">
        <v>0.38855669002355908</v>
      </c>
      <c r="D7" s="5">
        <v>0.44110136755014417</v>
      </c>
      <c r="E7" s="5">
        <v>0.30287036675369128</v>
      </c>
      <c r="F7" s="5">
        <v>0.41592775102282092</v>
      </c>
      <c r="G7" s="5">
        <v>0.48968314053238021</v>
      </c>
      <c r="H7" s="5">
        <v>0.50845347995277268</v>
      </c>
      <c r="I7" s="5">
        <v>1.769025846819882E-3</v>
      </c>
      <c r="J7" s="5">
        <v>0.15643006448597599</v>
      </c>
      <c r="K7" s="5">
        <v>8.2733763772874192E-4</v>
      </c>
    </row>
    <row r="8" spans="2:11" ht="37.5" customHeight="1" x14ac:dyDescent="0.25">
      <c r="B8" s="1">
        <v>4</v>
      </c>
      <c r="C8" s="5">
        <v>0.40311414390392891</v>
      </c>
      <c r="D8" s="5">
        <v>0.46542126561476721</v>
      </c>
      <c r="E8" s="5">
        <v>0.38119601527267449</v>
      </c>
      <c r="F8" s="5">
        <v>0.46986984958463879</v>
      </c>
      <c r="G8" s="5">
        <v>0.43592362327181827</v>
      </c>
      <c r="H8" s="5">
        <v>0.468281888943338</v>
      </c>
      <c r="I8" s="5">
        <v>3.2286233486277108E-3</v>
      </c>
      <c r="J8" s="5">
        <v>0.2071481984329529</v>
      </c>
      <c r="K8" s="5">
        <v>1.4211461772514909E-3</v>
      </c>
    </row>
    <row r="9" spans="2:11" ht="37.5" customHeight="1" x14ac:dyDescent="0.25">
      <c r="B9" s="1">
        <v>5</v>
      </c>
      <c r="C9" s="5">
        <v>6.8815829507451132E-2</v>
      </c>
      <c r="D9" s="5">
        <v>0.60419834052883625</v>
      </c>
      <c r="E9" s="5">
        <v>1.248187051340917E-3</v>
      </c>
      <c r="F9" s="5">
        <v>0.62370031841847906</v>
      </c>
      <c r="G9" s="5">
        <v>0.60599553552438223</v>
      </c>
      <c r="H9" s="5">
        <v>0.66721088473129686</v>
      </c>
      <c r="I9" s="5">
        <v>2.3932762787068319E-4</v>
      </c>
      <c r="J9" s="5">
        <v>3.3244423425719612E-3</v>
      </c>
      <c r="K9" s="5">
        <v>0.60927114237010116</v>
      </c>
    </row>
    <row r="10" spans="2:11" ht="37.5" customHeight="1" x14ac:dyDescent="0.25">
      <c r="B10" s="1">
        <v>6</v>
      </c>
      <c r="C10" s="5">
        <v>0.27414597093400311</v>
      </c>
      <c r="D10" s="5">
        <v>0.37428645423458551</v>
      </c>
      <c r="E10" s="5">
        <v>1.9265231711508339E-2</v>
      </c>
      <c r="F10" s="5">
        <v>0.36910477189708341</v>
      </c>
      <c r="G10" s="5">
        <v>0.3924414133417668</v>
      </c>
      <c r="H10" s="5">
        <v>0.4012655348049069</v>
      </c>
      <c r="I10" s="5">
        <v>2.2463611786009319E-4</v>
      </c>
      <c r="J10" s="5">
        <v>2.4112260047083251E-3</v>
      </c>
      <c r="K10" s="5">
        <v>1.2577966228032839E-4</v>
      </c>
    </row>
    <row r="11" spans="2:11" ht="37.5" customHeight="1" x14ac:dyDescent="0.25">
      <c r="B11" s="1">
        <v>7</v>
      </c>
      <c r="C11" s="5">
        <v>0.1446562995293568</v>
      </c>
      <c r="D11" s="5">
        <v>0.30143078781629229</v>
      </c>
      <c r="E11" s="5">
        <v>1.1979141104560579E-3</v>
      </c>
      <c r="F11" s="5">
        <v>0.28656285449762642</v>
      </c>
      <c r="G11" s="5">
        <v>0.38911392866667571</v>
      </c>
      <c r="H11" s="5">
        <v>0.40902728828858947</v>
      </c>
      <c r="I11" s="5">
        <v>2.4006688414242671E-4</v>
      </c>
      <c r="J11" s="5">
        <v>2.881187262987063E-3</v>
      </c>
      <c r="K11" s="5">
        <v>1.3307778655092341E-4</v>
      </c>
    </row>
    <row r="12" spans="2:11" ht="37.5" customHeight="1" x14ac:dyDescent="0.25">
      <c r="B12" s="1">
        <v>8</v>
      </c>
      <c r="C12" s="5">
        <v>0.5116046479096974</v>
      </c>
      <c r="D12" s="5">
        <v>0.6232679274861308</v>
      </c>
      <c r="E12" s="5">
        <v>0.5481599933585789</v>
      </c>
      <c r="F12" s="5">
        <v>0.58540612836425243</v>
      </c>
      <c r="G12" s="5">
        <v>0.61764022824871256</v>
      </c>
      <c r="H12" s="5">
        <v>0.62151680980273649</v>
      </c>
      <c r="I12" s="5">
        <v>4.5493819341109423E-2</v>
      </c>
      <c r="J12" s="5">
        <v>0.51269689331705726</v>
      </c>
      <c r="K12" s="5">
        <v>0.61105844753107841</v>
      </c>
    </row>
  </sheetData>
  <mergeCells count="1">
    <mergeCell ref="B2:K2"/>
  </mergeCells>
  <conditionalFormatting sqref="C5:K12">
    <cfRule type="colorScale" priority="1">
      <colorScale>
        <cfvo type="min"/>
        <cfvo type="max"/>
        <color rgb="FFFCFCFF"/>
        <color rgb="FFF8696B"/>
      </colorScale>
    </cfRule>
  </conditionalFormatting>
  <pageMargins left="0.75" right="0.75" top="1" bottom="1" header="0.5" footer="0.5"/>
  <pageSetup paperSize="9" orientation="portrait" verticalDpi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2"/>
  <sheetViews>
    <sheetView workbookViewId="0">
      <selection activeCell="N5" sqref="N5"/>
    </sheetView>
  </sheetViews>
  <sheetFormatPr defaultRowHeight="15" x14ac:dyDescent="0.25"/>
  <cols>
    <col min="2" max="11" width="12.85546875" customWidth="1"/>
  </cols>
  <sheetData>
    <row r="2" spans="2:11" ht="21" customHeight="1" x14ac:dyDescent="0.35">
      <c r="B2" s="18" t="s">
        <v>42</v>
      </c>
      <c r="C2" s="19"/>
      <c r="D2" s="19"/>
      <c r="E2" s="19"/>
      <c r="F2" s="19"/>
      <c r="G2" s="19"/>
      <c r="H2" s="19"/>
      <c r="I2" s="19"/>
      <c r="J2" s="19"/>
      <c r="K2" s="20"/>
    </row>
    <row r="3" spans="2:11" x14ac:dyDescent="0.25">
      <c r="B3" s="8"/>
      <c r="C3" s="8"/>
      <c r="D3" s="8"/>
      <c r="E3" s="8"/>
      <c r="F3" s="8"/>
      <c r="G3" s="8"/>
      <c r="H3" s="8"/>
      <c r="I3" s="8"/>
      <c r="J3" s="8"/>
      <c r="K3" s="8"/>
    </row>
    <row r="4" spans="2:11" ht="30" customHeight="1" x14ac:dyDescent="0.25">
      <c r="B4" s="2"/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</row>
    <row r="5" spans="2:11" ht="37.5" customHeight="1" x14ac:dyDescent="0.25">
      <c r="B5" s="1">
        <v>1</v>
      </c>
      <c r="C5" s="5">
        <v>0.55372940557994499</v>
      </c>
      <c r="D5" s="5">
        <v>0.62945326267629176</v>
      </c>
      <c r="E5" s="5">
        <v>0.60382317166873545</v>
      </c>
      <c r="F5" s="5">
        <v>0.60344611451198649</v>
      </c>
      <c r="G5" s="5">
        <v>0.63028903611695863</v>
      </c>
      <c r="H5" s="5">
        <v>0.64699909438751968</v>
      </c>
      <c r="I5" s="5">
        <v>7.0526798290059273E-3</v>
      </c>
      <c r="J5" s="5">
        <v>0.53346466592036224</v>
      </c>
      <c r="K5" s="5">
        <v>0.60987695146146315</v>
      </c>
    </row>
    <row r="6" spans="2:11" ht="37.5" customHeight="1" x14ac:dyDescent="0.25">
      <c r="B6" s="1">
        <v>2</v>
      </c>
      <c r="C6" s="5">
        <v>0.51761636804715216</v>
      </c>
      <c r="D6" s="5">
        <v>0.55231838925205412</v>
      </c>
      <c r="E6" s="5">
        <v>0.53033133104407071</v>
      </c>
      <c r="F6" s="5">
        <v>0.53566390550107146</v>
      </c>
      <c r="G6" s="5">
        <v>0.57992648943138192</v>
      </c>
      <c r="H6" s="5">
        <v>0.5615196080112369</v>
      </c>
      <c r="I6" s="5">
        <v>2.266448287488269E-2</v>
      </c>
      <c r="J6" s="5">
        <v>0.52069069784070399</v>
      </c>
      <c r="K6" s="5">
        <v>0.61816374686991948</v>
      </c>
    </row>
    <row r="7" spans="2:11" ht="37.5" customHeight="1" x14ac:dyDescent="0.25">
      <c r="B7" s="1">
        <v>3</v>
      </c>
      <c r="C7" s="5">
        <v>0.39691520257217561</v>
      </c>
      <c r="D7" s="5">
        <v>0.46669964652405371</v>
      </c>
      <c r="E7" s="5">
        <v>0.36124560438076719</v>
      </c>
      <c r="F7" s="5">
        <v>0.40560546619190602</v>
      </c>
      <c r="G7" s="5">
        <v>0.50389135708422417</v>
      </c>
      <c r="H7" s="5">
        <v>0.50840258567507368</v>
      </c>
      <c r="I7" s="5">
        <v>1.7558040080009941E-3</v>
      </c>
      <c r="J7" s="5">
        <v>0.2456324253024641</v>
      </c>
      <c r="K7" s="5">
        <v>8.2613999455411402E-4</v>
      </c>
    </row>
    <row r="8" spans="2:11" ht="37.5" customHeight="1" x14ac:dyDescent="0.25">
      <c r="B8" s="1">
        <v>4</v>
      </c>
      <c r="C8" s="5">
        <v>0.39689351424585773</v>
      </c>
      <c r="D8" s="5">
        <v>0.47746588090129322</v>
      </c>
      <c r="E8" s="5">
        <v>0.41827914800233051</v>
      </c>
      <c r="F8" s="5">
        <v>0.46396150970479078</v>
      </c>
      <c r="G8" s="5">
        <v>0.48609862930973802</v>
      </c>
      <c r="H8" s="5">
        <v>0.48267138745623139</v>
      </c>
      <c r="I8" s="5">
        <v>3.099089836457224E-3</v>
      </c>
      <c r="J8" s="5">
        <v>0.28326525691982052</v>
      </c>
      <c r="K8" s="5">
        <v>1.376170370942089E-3</v>
      </c>
    </row>
    <row r="9" spans="2:11" ht="37.5" customHeight="1" x14ac:dyDescent="0.25">
      <c r="B9" s="1">
        <v>5</v>
      </c>
      <c r="C9" s="5">
        <v>6.7773277906756316E-2</v>
      </c>
      <c r="D9" s="5">
        <v>0.62177324321611327</v>
      </c>
      <c r="E9" s="5">
        <v>1.456308676802376E-3</v>
      </c>
      <c r="F9" s="5">
        <v>0.62680609145343114</v>
      </c>
      <c r="G9" s="5">
        <v>0.62963182279656449</v>
      </c>
      <c r="H9" s="5">
        <v>0.66212064996339182</v>
      </c>
      <c r="I9" s="5">
        <v>2.4006226308824171E-4</v>
      </c>
      <c r="J9" s="5">
        <v>2.8604909222318831E-3</v>
      </c>
      <c r="K9" s="5">
        <v>0.60935182980998825</v>
      </c>
    </row>
    <row r="10" spans="2:11" ht="37.5" customHeight="1" x14ac:dyDescent="0.25">
      <c r="B10" s="1">
        <v>6</v>
      </c>
      <c r="C10" s="5">
        <v>0.29365805853967258</v>
      </c>
      <c r="D10" s="5">
        <v>0.37882610243073472</v>
      </c>
      <c r="E10" s="5">
        <v>2.3259038975479589E-2</v>
      </c>
      <c r="F10" s="5">
        <v>0.37545524986367179</v>
      </c>
      <c r="G10" s="5">
        <v>0.39981861796998969</v>
      </c>
      <c r="H10" s="5">
        <v>0.40673117510599971</v>
      </c>
      <c r="I10" s="5">
        <v>2.2651044622337281E-4</v>
      </c>
      <c r="J10" s="5">
        <v>2.920291218087903E-3</v>
      </c>
      <c r="K10" s="5">
        <v>1.264620557706511E-4</v>
      </c>
    </row>
    <row r="11" spans="2:11" ht="37.5" customHeight="1" x14ac:dyDescent="0.25">
      <c r="B11" s="1">
        <v>7</v>
      </c>
      <c r="C11" s="5">
        <v>0.15310958148398229</v>
      </c>
      <c r="D11" s="5">
        <v>0.2831055406058216</v>
      </c>
      <c r="E11" s="5">
        <v>8.2971293421046539E-3</v>
      </c>
      <c r="F11" s="5">
        <v>0.28379627737243918</v>
      </c>
      <c r="G11" s="5">
        <v>0.38572668657974379</v>
      </c>
      <c r="H11" s="5">
        <v>0.4028366161965668</v>
      </c>
      <c r="I11" s="5">
        <v>2.3765833115417699E-4</v>
      </c>
      <c r="J11" s="5">
        <v>2.8440836520917051E-3</v>
      </c>
      <c r="K11" s="5">
        <v>1.331933890226125E-4</v>
      </c>
    </row>
    <row r="12" spans="2:11" ht="37.5" customHeight="1" x14ac:dyDescent="0.25">
      <c r="B12" s="1">
        <v>8</v>
      </c>
      <c r="C12" s="5">
        <v>0.50303987817960649</v>
      </c>
      <c r="D12" s="5">
        <v>0.63001134459516195</v>
      </c>
      <c r="E12" s="5">
        <v>0.57892342770524075</v>
      </c>
      <c r="F12" s="5">
        <v>0.56869526640991108</v>
      </c>
      <c r="G12" s="5">
        <v>0.6283844572608136</v>
      </c>
      <c r="H12" s="5">
        <v>0.6278669534092266</v>
      </c>
      <c r="I12" s="5">
        <v>3.9183696341225843E-2</v>
      </c>
      <c r="J12" s="5">
        <v>0.55209161250567851</v>
      </c>
      <c r="K12" s="5">
        <v>0.61260249678497058</v>
      </c>
    </row>
  </sheetData>
  <mergeCells count="1">
    <mergeCell ref="B2:K2"/>
  </mergeCells>
  <conditionalFormatting sqref="C5:K12">
    <cfRule type="colorScale" priority="1">
      <colorScale>
        <cfvo type="min"/>
        <cfvo type="max"/>
        <color rgb="FFFCFCFF"/>
        <color rgb="FFF8696B"/>
      </colorScale>
    </cfRule>
  </conditionalFormatting>
  <pageMargins left="0.75" right="0.75" top="1" bottom="1" header="0.5" footer="0.5"/>
  <pageSetup paperSize="9" orientation="portrait" verticalDpi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2"/>
  <sheetViews>
    <sheetView workbookViewId="0">
      <selection activeCell="G14" sqref="G14"/>
    </sheetView>
  </sheetViews>
  <sheetFormatPr defaultRowHeight="15" x14ac:dyDescent="0.25"/>
  <cols>
    <col min="2" max="11" width="12.85546875" customWidth="1"/>
  </cols>
  <sheetData>
    <row r="2" spans="2:11" ht="21" customHeight="1" x14ac:dyDescent="0.35">
      <c r="B2" s="18" t="s">
        <v>43</v>
      </c>
      <c r="C2" s="19"/>
      <c r="D2" s="19"/>
      <c r="E2" s="19"/>
      <c r="F2" s="19"/>
      <c r="G2" s="19"/>
      <c r="H2" s="19"/>
      <c r="I2" s="19"/>
      <c r="J2" s="19"/>
      <c r="K2" s="20"/>
    </row>
    <row r="3" spans="2:11" x14ac:dyDescent="0.25">
      <c r="B3" s="8"/>
      <c r="C3" s="8"/>
      <c r="D3" s="8"/>
      <c r="E3" s="8"/>
      <c r="F3" s="8"/>
      <c r="G3" s="8"/>
      <c r="H3" s="8"/>
      <c r="I3" s="8"/>
      <c r="J3" s="8"/>
      <c r="K3" s="8"/>
    </row>
    <row r="4" spans="2:11" ht="30" customHeight="1" x14ac:dyDescent="0.25">
      <c r="B4" s="2"/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</row>
    <row r="5" spans="2:11" ht="37.5" customHeight="1" x14ac:dyDescent="0.25">
      <c r="B5" s="1">
        <v>1</v>
      </c>
      <c r="C5" s="5">
        <v>2.1796331400000039E-2</v>
      </c>
      <c r="D5" s="5">
        <v>4.5334192399999917E-2</v>
      </c>
      <c r="E5" s="5">
        <v>2.612294399999993E-3</v>
      </c>
      <c r="F5" s="5">
        <v>1.251724400000054E-2</v>
      </c>
      <c r="G5" s="5">
        <v>6.2123626199999997E-2</v>
      </c>
      <c r="H5" s="5">
        <v>7.2110209999998176E-3</v>
      </c>
      <c r="I5" s="5">
        <v>2.1224891999995781E-3</v>
      </c>
      <c r="J5" s="5">
        <v>6.4953611800000033E-2</v>
      </c>
      <c r="K5" s="5">
        <v>4.3538239999962869E-4</v>
      </c>
    </row>
    <row r="6" spans="2:11" ht="37.5" customHeight="1" x14ac:dyDescent="0.25">
      <c r="B6" s="1">
        <v>2</v>
      </c>
      <c r="C6" s="5">
        <v>1.1918593199999879E-2</v>
      </c>
      <c r="D6" s="5">
        <v>7.2681649400000214E-2</v>
      </c>
      <c r="E6" s="5">
        <v>9.5239899999999267E-4</v>
      </c>
      <c r="F6" s="5">
        <v>2.2313347999998179E-3</v>
      </c>
      <c r="G6" s="5">
        <v>8.0028727399999777E-2</v>
      </c>
      <c r="H6" s="5">
        <v>5.3334343999997813E-3</v>
      </c>
      <c r="I6" s="5">
        <v>2.040855000000175E-3</v>
      </c>
      <c r="J6" s="5">
        <v>0.10623330559999999</v>
      </c>
      <c r="K6" s="5">
        <v>5.1701660000036398E-4</v>
      </c>
    </row>
    <row r="7" spans="2:11" ht="37.5" customHeight="1" x14ac:dyDescent="0.25">
      <c r="B7" s="1">
        <v>3</v>
      </c>
      <c r="C7" s="5">
        <v>5.9865079999999793E-2</v>
      </c>
      <c r="D7" s="5">
        <v>6.5851588000000127E-2</v>
      </c>
      <c r="E7" s="5">
        <v>1.469415599999913E-3</v>
      </c>
      <c r="F7" s="5">
        <v>2.7619570999999791E-2</v>
      </c>
      <c r="G7" s="5">
        <v>8.949829460000025E-2</v>
      </c>
      <c r="H7" s="5">
        <v>1.5428863799999529E-2</v>
      </c>
      <c r="I7" s="5">
        <v>1.551049800000204E-3</v>
      </c>
      <c r="J7" s="5">
        <v>8.824657019999993E-2</v>
      </c>
      <c r="K7" s="5">
        <v>2.4490259999998543E-4</v>
      </c>
    </row>
    <row r="8" spans="2:11" ht="37.5" customHeight="1" x14ac:dyDescent="0.25">
      <c r="B8" s="1">
        <v>4</v>
      </c>
      <c r="C8" s="5">
        <v>0.12753983180000009</v>
      </c>
      <c r="D8" s="5">
        <v>8.1117183400000403E-2</v>
      </c>
      <c r="E8" s="5">
        <v>4.7347836000000143E-3</v>
      </c>
      <c r="F8" s="5">
        <v>8.8137724600000578E-2</v>
      </c>
      <c r="G8" s="5">
        <v>0.1191587206000007</v>
      </c>
      <c r="H8" s="5">
        <v>7.4504813199999465E-2</v>
      </c>
      <c r="I8" s="5">
        <v>7.3470780000000069E-3</v>
      </c>
      <c r="J8" s="5">
        <v>9.932161000000006E-2</v>
      </c>
      <c r="K8" s="5">
        <v>1.074850299999985E-2</v>
      </c>
    </row>
    <row r="9" spans="2:11" ht="37.5" customHeight="1" x14ac:dyDescent="0.25">
      <c r="B9" s="1">
        <v>5</v>
      </c>
      <c r="C9" s="5">
        <v>1.417713940000009E-2</v>
      </c>
      <c r="D9" s="5">
        <v>1.6326840000013829E-4</v>
      </c>
      <c r="E9" s="5">
        <v>3.6463275999998319E-3</v>
      </c>
      <c r="F9" s="5">
        <v>2.3673918000000072E-3</v>
      </c>
      <c r="G9" s="5">
        <v>1.7687410000002399E-3</v>
      </c>
      <c r="H9" s="5">
        <v>1.442204199999964E-3</v>
      </c>
      <c r="I9" s="5">
        <v>1.496626999999862E-3</v>
      </c>
      <c r="J9" s="5">
        <v>4.6531494000001672E-3</v>
      </c>
      <c r="K9" s="5">
        <v>4.6259379999957773E-4</v>
      </c>
    </row>
    <row r="10" spans="2:11" ht="37.5" customHeight="1" x14ac:dyDescent="0.25">
      <c r="B10" s="1">
        <v>6</v>
      </c>
      <c r="C10" s="5">
        <v>2.5769195800000141E-2</v>
      </c>
      <c r="D10" s="5">
        <v>7.6191919999990532E-4</v>
      </c>
      <c r="E10" s="5">
        <v>4.1633441999997522E-3</v>
      </c>
      <c r="F10" s="5">
        <v>8.8164936000003635E-3</v>
      </c>
      <c r="G10" s="5">
        <v>4.054498599999512E-3</v>
      </c>
      <c r="H10" s="5">
        <v>3.5374819999978158E-4</v>
      </c>
      <c r="I10" s="5">
        <v>5.1973774000004802E-3</v>
      </c>
      <c r="J10" s="5">
        <v>4.1905556000001454E-3</v>
      </c>
      <c r="K10" s="5">
        <v>3.8640187999994251E-3</v>
      </c>
    </row>
    <row r="11" spans="2:11" ht="37.5" customHeight="1" x14ac:dyDescent="0.25">
      <c r="B11" s="1">
        <v>7</v>
      </c>
      <c r="C11" s="5">
        <v>7.9185173999998248E-3</v>
      </c>
      <c r="D11" s="5">
        <v>8.0817858000004072E-3</v>
      </c>
      <c r="E11" s="5">
        <v>1.5809823399999701E-2</v>
      </c>
      <c r="F11" s="5">
        <v>7.6191919999999413E-3</v>
      </c>
      <c r="G11" s="5">
        <v>3.8640187999998692E-3</v>
      </c>
      <c r="H11" s="5">
        <v>5.7960282000002472E-3</v>
      </c>
      <c r="I11" s="5">
        <v>2.1279314800000119E-2</v>
      </c>
      <c r="J11" s="5">
        <v>1.1455999399999859E-2</v>
      </c>
      <c r="K11" s="5">
        <v>6.0137193999998404E-3</v>
      </c>
    </row>
    <row r="12" spans="2:11" ht="37.5" customHeight="1" x14ac:dyDescent="0.25">
      <c r="B12" s="1">
        <v>8</v>
      </c>
      <c r="C12" s="5">
        <v>6.4327749599999873E-2</v>
      </c>
      <c r="D12" s="5">
        <v>5.096695220000047E-2</v>
      </c>
      <c r="E12" s="5">
        <v>1.9020768599999901E-2</v>
      </c>
      <c r="F12" s="5">
        <v>2.457189420000061E-2</v>
      </c>
      <c r="G12" s="5">
        <v>5.5892215600000128E-2</v>
      </c>
      <c r="H12" s="5">
        <v>9.9049496000001014E-3</v>
      </c>
      <c r="I12" s="5">
        <v>6.1225650000000797E-3</v>
      </c>
      <c r="J12" s="5">
        <v>7.7089896199999952E-2</v>
      </c>
      <c r="K12" s="5">
        <v>1.8367694999999799E-2</v>
      </c>
    </row>
  </sheetData>
  <mergeCells count="1">
    <mergeCell ref="B2:K2"/>
  </mergeCells>
  <conditionalFormatting sqref="C5:K12">
    <cfRule type="colorScale" priority="1">
      <colorScale>
        <cfvo type="min"/>
        <cfvo type="max"/>
        <color rgb="FFFCFCFF"/>
        <color rgb="FF63BE7B"/>
      </colorScale>
    </cfRule>
  </conditionalFormatting>
  <pageMargins left="0.75" right="0.75" top="1" bottom="1" header="0.5" footer="0.5"/>
  <pageSetup paperSize="9" orientation="portrait" verticalDpi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2"/>
  <sheetViews>
    <sheetView workbookViewId="0">
      <selection activeCell="M9" sqref="M9"/>
    </sheetView>
  </sheetViews>
  <sheetFormatPr defaultRowHeight="15" x14ac:dyDescent="0.25"/>
  <cols>
    <col min="2" max="11" width="12.85546875" customWidth="1"/>
  </cols>
  <sheetData>
    <row r="2" spans="2:11" ht="21" customHeight="1" x14ac:dyDescent="0.35">
      <c r="B2" s="18" t="s">
        <v>44</v>
      </c>
      <c r="C2" s="19"/>
      <c r="D2" s="19"/>
      <c r="E2" s="19"/>
      <c r="F2" s="19"/>
      <c r="G2" s="19"/>
      <c r="H2" s="19"/>
      <c r="I2" s="19"/>
      <c r="J2" s="19"/>
      <c r="K2" s="20"/>
    </row>
    <row r="3" spans="2:11" x14ac:dyDescent="0.25">
      <c r="B3" s="8"/>
      <c r="C3" s="8"/>
      <c r="D3" s="8"/>
      <c r="E3" s="8"/>
      <c r="F3" s="8"/>
      <c r="G3" s="8"/>
      <c r="H3" s="8"/>
      <c r="I3" s="8"/>
      <c r="J3" s="8"/>
      <c r="K3" s="8"/>
    </row>
    <row r="4" spans="2:11" ht="30" customHeight="1" x14ac:dyDescent="0.25">
      <c r="B4" s="2"/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</row>
    <row r="5" spans="2:11" ht="37.5" customHeight="1" x14ac:dyDescent="0.25">
      <c r="B5" s="1">
        <v>1</v>
      </c>
      <c r="C5" s="5">
        <v>7.2110209999998176E-3</v>
      </c>
      <c r="D5" s="5">
        <v>1.273493520000013E-2</v>
      </c>
      <c r="E5" s="5">
        <v>1.1347153799999621E-2</v>
      </c>
      <c r="F5" s="5">
        <v>7.7552490000005747E-3</v>
      </c>
      <c r="G5" s="5">
        <v>1.6408474199999471E-2</v>
      </c>
      <c r="H5" s="5">
        <v>6.5851588000001024E-3</v>
      </c>
      <c r="I5" s="5">
        <v>2.5306601999997009E-3</v>
      </c>
      <c r="J5" s="5">
        <v>2.949715759999938E-2</v>
      </c>
      <c r="K5" s="5">
        <v>8.1634199999847112E-5</v>
      </c>
    </row>
    <row r="6" spans="2:11" ht="37.5" customHeight="1" x14ac:dyDescent="0.25">
      <c r="B6" s="1">
        <v>2</v>
      </c>
      <c r="C6" s="5">
        <v>4.3538239999998396E-3</v>
      </c>
      <c r="D6" s="5">
        <v>6.5579474000001534E-3</v>
      </c>
      <c r="E6" s="5">
        <v>6.0137193999998404E-3</v>
      </c>
      <c r="F6" s="5">
        <v>3.619116200000327E-3</v>
      </c>
      <c r="G6" s="5">
        <v>1.0068217999999801E-2</v>
      </c>
      <c r="H6" s="5">
        <v>3.972864400000109E-3</v>
      </c>
      <c r="I6" s="5">
        <v>2.6939286000002842E-3</v>
      </c>
      <c r="J6" s="5">
        <v>3.0204653999999831E-2</v>
      </c>
      <c r="K6" s="5">
        <v>5.4422799999898068E-5</v>
      </c>
    </row>
    <row r="7" spans="2:11" ht="37.5" customHeight="1" x14ac:dyDescent="0.25">
      <c r="B7" s="1">
        <v>3</v>
      </c>
      <c r="C7" s="5">
        <v>5.1973774000000361E-3</v>
      </c>
      <c r="D7" s="5">
        <v>8.8981278000002106E-3</v>
      </c>
      <c r="E7" s="5">
        <v>1.22995528000005E-2</v>
      </c>
      <c r="F7" s="5">
        <v>3.7823846000000221E-3</v>
      </c>
      <c r="G7" s="5">
        <v>1.1864170400000431E-2</v>
      </c>
      <c r="H7" s="5">
        <v>3.5102706000000872E-3</v>
      </c>
      <c r="I7" s="5">
        <v>1.6054726000001021E-3</v>
      </c>
      <c r="J7" s="5">
        <v>5.4939816599999691E-2</v>
      </c>
      <c r="K7" s="5">
        <v>2.1769120000003639E-4</v>
      </c>
    </row>
    <row r="8" spans="2:11" ht="37.5" customHeight="1" x14ac:dyDescent="0.25">
      <c r="B8" s="1">
        <v>4</v>
      </c>
      <c r="C8" s="5">
        <v>1.099340560000028E-2</v>
      </c>
      <c r="D8" s="5">
        <v>1.24083984000003E-2</v>
      </c>
      <c r="E8" s="5">
        <v>2.6231789599999718E-2</v>
      </c>
      <c r="F8" s="5">
        <v>7.3198666000000578E-3</v>
      </c>
      <c r="G8" s="5">
        <v>2.3864397800000159E-2</v>
      </c>
      <c r="H8" s="5">
        <v>1.7959523999997451E-3</v>
      </c>
      <c r="I8" s="5">
        <v>7.8368831999999777E-3</v>
      </c>
      <c r="J8" s="5">
        <v>6.6994466799999763E-2</v>
      </c>
      <c r="K8" s="5">
        <v>1.07212915999999E-2</v>
      </c>
    </row>
    <row r="9" spans="2:11" ht="37.5" customHeight="1" x14ac:dyDescent="0.25">
      <c r="B9" s="1">
        <v>5</v>
      </c>
      <c r="C9" s="5">
        <v>1.2925415000000219E-2</v>
      </c>
      <c r="D9" s="5">
        <v>1.213628440000036E-2</v>
      </c>
      <c r="E9" s="5">
        <v>3.4830592000001381E-3</v>
      </c>
      <c r="F9" s="5">
        <v>2.7483514000001819E-3</v>
      </c>
      <c r="G9" s="5">
        <v>1.4476464799999981E-2</v>
      </c>
      <c r="H9" s="5">
        <v>4.8708406000002036E-3</v>
      </c>
      <c r="I9" s="5">
        <v>1.496626999999862E-3</v>
      </c>
      <c r="J9" s="5">
        <v>4.544303799999927E-3</v>
      </c>
      <c r="K9" s="5">
        <v>1.360570000001893E-4</v>
      </c>
    </row>
    <row r="10" spans="2:11" ht="37.5" customHeight="1" x14ac:dyDescent="0.25">
      <c r="B10" s="1">
        <v>6</v>
      </c>
      <c r="C10" s="5">
        <v>1.896634580000001E-2</v>
      </c>
      <c r="D10" s="5">
        <v>5.8776623999996502E-3</v>
      </c>
      <c r="E10" s="5">
        <v>3.6463275999998319E-3</v>
      </c>
      <c r="F10" s="5">
        <v>9.5512014000003198E-3</v>
      </c>
      <c r="G10" s="5">
        <v>4.3810354000002327E-3</v>
      </c>
      <c r="H10" s="5">
        <v>4.0544985999999561E-3</v>
      </c>
      <c r="I10" s="5">
        <v>5.1973774000004802E-3</v>
      </c>
      <c r="J10" s="5">
        <v>4.0817100000003492E-3</v>
      </c>
      <c r="K10" s="5">
        <v>3.8640187999994251E-3</v>
      </c>
    </row>
    <row r="11" spans="2:11" ht="37.5" customHeight="1" x14ac:dyDescent="0.25">
      <c r="B11" s="1">
        <v>7</v>
      </c>
      <c r="C11" s="5">
        <v>5.3334343999997813E-3</v>
      </c>
      <c r="D11" s="5">
        <v>9.687258400000065E-3</v>
      </c>
      <c r="E11" s="5">
        <v>1.5456075199999921E-2</v>
      </c>
      <c r="F11" s="5">
        <v>8.1362086000003053E-3</v>
      </c>
      <c r="G11" s="5">
        <v>4.7347836000004584E-3</v>
      </c>
      <c r="H11" s="5">
        <v>1.104782839999929E-2</v>
      </c>
      <c r="I11" s="5">
        <v>2.1306526200000508E-2</v>
      </c>
      <c r="J11" s="5">
        <v>1.142878800000036E-2</v>
      </c>
      <c r="K11" s="5">
        <v>6.0409308000002326E-3</v>
      </c>
    </row>
    <row r="12" spans="2:11" ht="37.5" customHeight="1" x14ac:dyDescent="0.25">
      <c r="B12" s="1">
        <v>8</v>
      </c>
      <c r="C12" s="5">
        <v>4.4354582000001308E-3</v>
      </c>
      <c r="D12" s="5">
        <v>6.5307359999997594E-3</v>
      </c>
      <c r="E12" s="5">
        <v>1.058523460000016E-2</v>
      </c>
      <c r="F12" s="5">
        <v>3.755173200000073E-3</v>
      </c>
      <c r="G12" s="5">
        <v>8.489956800000531E-3</v>
      </c>
      <c r="H12" s="5">
        <v>8.7076480000001233E-3</v>
      </c>
      <c r="I12" s="5">
        <v>5.7416054000003491E-3</v>
      </c>
      <c r="J12" s="5">
        <v>1.553770940000021E-2</v>
      </c>
      <c r="K12" s="5">
        <v>2.7211399999993452E-4</v>
      </c>
    </row>
  </sheetData>
  <mergeCells count="1">
    <mergeCell ref="B2:K2"/>
  </mergeCells>
  <conditionalFormatting sqref="C5:K12">
    <cfRule type="colorScale" priority="1">
      <colorScale>
        <cfvo type="min"/>
        <cfvo type="max"/>
        <color rgb="FFFCFCFF"/>
        <color rgb="FF63BE7B"/>
      </colorScale>
    </cfRule>
  </conditionalFormatting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30</vt:i4>
      </vt:variant>
    </vt:vector>
  </HeadingPairs>
  <TitlesOfParts>
    <vt:vector size="30" baseType="lpstr">
      <vt:lpstr>template</vt:lpstr>
      <vt:lpstr>pbeh3c homo_energy</vt:lpstr>
      <vt:lpstr>pbeh3c lumo_energy</vt:lpstr>
      <vt:lpstr>pbeh3c homo_lumo_gap</vt:lpstr>
      <vt:lpstr>r2scan3c homo_energy</vt:lpstr>
      <vt:lpstr>r2scan3c lumo_energy</vt:lpstr>
      <vt:lpstr>r2scan3c homo_lumo_gap</vt:lpstr>
      <vt:lpstr>b3lyp homo_energy</vt:lpstr>
      <vt:lpstr>b3lyp lumo_energy</vt:lpstr>
      <vt:lpstr>b3lyp homo_lumo_gap</vt:lpstr>
      <vt:lpstr>pbe0 homo_energy</vt:lpstr>
      <vt:lpstr>pbe0 lumo_energy</vt:lpstr>
      <vt:lpstr>pbe0 homo_lumo_gap</vt:lpstr>
      <vt:lpstr>pbe0 S1_energy</vt:lpstr>
      <vt:lpstr>pbe0 T1_energy</vt:lpstr>
      <vt:lpstr>pbe0 delta_E_S1_T1</vt:lpstr>
      <vt:lpstr>pbe0 delta_E_S2_T1</vt:lpstr>
      <vt:lpstr>pbe0 T1_S1_SOCME</vt:lpstr>
      <vt:lpstr>pbe0 T1_S2_SOCME</vt:lpstr>
      <vt:lpstr>pbe0 T1_S1_kRISC</vt:lpstr>
      <vt:lpstr>pbe0 T1_S2_kRISC</vt:lpstr>
      <vt:lpstr>pbe0 distance</vt:lpstr>
      <vt:lpstr>pbe0 integral_norm</vt:lpstr>
      <vt:lpstr>pbe0 integral_square</vt:lpstr>
      <vt:lpstr>pbe0 S1_HEOE</vt:lpstr>
      <vt:lpstr>pbe0 S2_HEOE</vt:lpstr>
      <vt:lpstr>pbe0 T1_HEOE</vt:lpstr>
      <vt:lpstr>pbe0 T2_HEOE</vt:lpstr>
      <vt:lpstr>pbe0 delta_E_S1_S2</vt:lpstr>
      <vt:lpstr>pbe0 delta_E_T1_T2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TACHYON</dc:creator>
  <cp:lastModifiedBy>TACHYON</cp:lastModifiedBy>
  <dcterms:created xsi:type="dcterms:W3CDTF">2006-09-16T00:00:00Z</dcterms:created>
  <dcterms:modified xsi:type="dcterms:W3CDTF">2026-05-14T15:56:51Z</dcterms:modified>
</cp:coreProperties>
</file>